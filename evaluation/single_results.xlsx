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ouyiming/Desktop/PiXTime/V2实验/"/>
    </mc:Choice>
  </mc:AlternateContent>
  <xr:revisionPtr revIDLastSave="0" documentId="13_ncr:1_{76B92DC5-C88A-C349-96BF-F7202D1496D4}" xr6:coauthVersionLast="47" xr6:coauthVersionMax="47" xr10:uidLastSave="{00000000-0000-0000-0000-000000000000}"/>
  <bookViews>
    <workbookView xWindow="-20" yWindow="760" windowWidth="29400" windowHeight="16840" xr2:uid="{1AE8E0D6-ABB1-FF43-BC08-C641D72F24B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3" i="1" l="1"/>
  <c r="O43" i="1"/>
  <c r="P38" i="1"/>
  <c r="O38" i="1"/>
  <c r="P33" i="1"/>
  <c r="O33" i="1"/>
  <c r="P28" i="1"/>
  <c r="O28" i="1"/>
  <c r="P22" i="1"/>
  <c r="O22" i="1"/>
  <c r="P17" i="1"/>
  <c r="O17" i="1"/>
  <c r="P12" i="1"/>
  <c r="O12" i="1"/>
  <c r="P7" i="1"/>
  <c r="O7" i="1"/>
  <c r="D44" i="1"/>
  <c r="E44" i="1"/>
  <c r="F44" i="1"/>
  <c r="I44" i="1"/>
  <c r="J44" i="1"/>
  <c r="K44" i="1"/>
  <c r="L44" i="1"/>
  <c r="C44" i="1"/>
  <c r="M28" i="1"/>
  <c r="N28" i="1"/>
  <c r="M33" i="1"/>
  <c r="M44" i="1" s="1"/>
  <c r="N33" i="1"/>
  <c r="N44" i="1" s="1"/>
  <c r="M38" i="1"/>
  <c r="N38" i="1"/>
  <c r="M43" i="1"/>
  <c r="N43" i="1"/>
  <c r="E23" i="1"/>
  <c r="F23" i="1"/>
  <c r="G23" i="1"/>
  <c r="H23" i="1"/>
  <c r="I23" i="1"/>
  <c r="J23" i="1"/>
  <c r="K23" i="1"/>
  <c r="L23" i="1"/>
  <c r="D22" i="1"/>
  <c r="E22" i="1"/>
  <c r="F22" i="1"/>
  <c r="G22" i="1"/>
  <c r="H22" i="1"/>
  <c r="I22" i="1"/>
  <c r="J22" i="1"/>
  <c r="K22" i="1"/>
  <c r="L22" i="1"/>
  <c r="M22" i="1"/>
  <c r="N22" i="1"/>
  <c r="C22" i="1"/>
  <c r="D17" i="1"/>
  <c r="E17" i="1"/>
  <c r="F17" i="1"/>
  <c r="G17" i="1"/>
  <c r="H17" i="1"/>
  <c r="I17" i="1"/>
  <c r="J17" i="1"/>
  <c r="K17" i="1"/>
  <c r="L17" i="1"/>
  <c r="M17" i="1"/>
  <c r="N17" i="1"/>
  <c r="C17" i="1"/>
  <c r="D7" i="1"/>
  <c r="E7" i="1"/>
  <c r="F7" i="1"/>
  <c r="G7" i="1"/>
  <c r="H7" i="1"/>
  <c r="I7" i="1"/>
  <c r="J7" i="1"/>
  <c r="K7" i="1"/>
  <c r="L7" i="1"/>
  <c r="M7" i="1"/>
  <c r="N7" i="1"/>
  <c r="C7" i="1"/>
  <c r="D12" i="1"/>
  <c r="E12" i="1"/>
  <c r="F12" i="1"/>
  <c r="G12" i="1"/>
  <c r="H12" i="1"/>
  <c r="I12" i="1"/>
  <c r="J12" i="1"/>
  <c r="K12" i="1"/>
  <c r="L12" i="1"/>
  <c r="M12" i="1"/>
  <c r="N12" i="1"/>
  <c r="C12" i="1"/>
  <c r="C38" i="1"/>
  <c r="D38" i="1"/>
  <c r="C43" i="1"/>
  <c r="D43" i="1"/>
  <c r="C33" i="1"/>
  <c r="D33" i="1"/>
  <c r="C28" i="1"/>
  <c r="D28" i="1"/>
  <c r="E28" i="1"/>
  <c r="F28" i="1"/>
  <c r="G28" i="1"/>
  <c r="H28" i="1"/>
  <c r="F43" i="1"/>
  <c r="G43" i="1"/>
  <c r="H43" i="1"/>
  <c r="I43" i="1"/>
  <c r="J43" i="1"/>
  <c r="K43" i="1"/>
  <c r="L43" i="1"/>
  <c r="E43" i="1"/>
  <c r="F38" i="1"/>
  <c r="G38" i="1"/>
  <c r="H38" i="1"/>
  <c r="I38" i="1"/>
  <c r="J38" i="1"/>
  <c r="K38" i="1"/>
  <c r="L38" i="1"/>
  <c r="E38" i="1"/>
  <c r="E33" i="1"/>
  <c r="F33" i="1"/>
  <c r="G33" i="1"/>
  <c r="G44" i="1" s="1"/>
  <c r="H33" i="1"/>
  <c r="H44" i="1" s="1"/>
  <c r="I33" i="1"/>
  <c r="J33" i="1"/>
  <c r="K33" i="1"/>
  <c r="L33" i="1"/>
  <c r="L28" i="1"/>
  <c r="I28" i="1"/>
  <c r="J28" i="1"/>
  <c r="K28" i="1"/>
  <c r="O23" i="1" l="1"/>
  <c r="O44" i="1" s="1"/>
  <c r="P23" i="1"/>
  <c r="P44" i="1" s="1"/>
  <c r="N23" i="1"/>
  <c r="M23" i="1"/>
  <c r="D23" i="1"/>
  <c r="C23" i="1"/>
</calcChain>
</file>

<file path=xl/sharedStrings.xml><?xml version="1.0" encoding="utf-8"?>
<sst xmlns="http://schemas.openxmlformats.org/spreadsheetml/2006/main" count="40" uniqueCount="23">
  <si>
    <t>Model</t>
    <phoneticPr fontId="1" type="noConversion"/>
  </si>
  <si>
    <t>PiXTime(Our)</t>
    <phoneticPr fontId="1" type="noConversion"/>
  </si>
  <si>
    <t>MSE</t>
  </si>
  <si>
    <t>MSE</t>
    <phoneticPr fontId="1" type="noConversion"/>
  </si>
  <si>
    <t>MAE</t>
  </si>
  <si>
    <t>MAE</t>
    <phoneticPr fontId="1" type="noConversion"/>
  </si>
  <si>
    <t>Metric</t>
    <phoneticPr fontId="1" type="noConversion"/>
  </si>
  <si>
    <t>ETT-h1</t>
    <phoneticPr fontId="1" type="noConversion"/>
  </si>
  <si>
    <t>ETT-h2</t>
    <phoneticPr fontId="1" type="noConversion"/>
  </si>
  <si>
    <t>ETT-m1</t>
    <phoneticPr fontId="1" type="noConversion"/>
  </si>
  <si>
    <t>ETT-m2</t>
    <phoneticPr fontId="1" type="noConversion"/>
  </si>
  <si>
    <t>DLinear</t>
    <phoneticPr fontId="1" type="noConversion"/>
  </si>
  <si>
    <t>iTransformer</t>
    <phoneticPr fontId="1" type="noConversion"/>
  </si>
  <si>
    <t>PatchTST</t>
    <phoneticPr fontId="1" type="noConversion"/>
  </si>
  <si>
    <t>TimeXer</t>
    <phoneticPr fontId="1" type="noConversion"/>
  </si>
  <si>
    <t>Average</t>
    <phoneticPr fontId="1" type="noConversion"/>
  </si>
  <si>
    <t>Electricity</t>
    <phoneticPr fontId="1" type="noConversion"/>
  </si>
  <si>
    <t>Traffic</t>
    <phoneticPr fontId="1" type="noConversion"/>
  </si>
  <si>
    <t>Exchange</t>
    <phoneticPr fontId="1" type="noConversion"/>
  </si>
  <si>
    <t>Weather</t>
    <phoneticPr fontId="1" type="noConversion"/>
  </si>
  <si>
    <t>FFTS</t>
    <phoneticPr fontId="1" type="noConversion"/>
  </si>
  <si>
    <t>ETT Average</t>
    <phoneticPr fontId="1" type="noConversion"/>
  </si>
  <si>
    <t>TimeMixer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</si>
</sst>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 "/>
  </numFmts>
  <fonts count="7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FF0000"/>
      <name val="Times New Roman"/>
      <family val="1"/>
    </font>
    <font>
      <u/>
      <sz val="12"/>
      <color rgb="FFFF0000"/>
      <name val="Times New Roman"/>
      <family val="1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F0098-9BBB-594A-993F-FC86199CFB2E}">
  <dimension ref="A1:P44"/>
  <sheetViews>
    <sheetView tabSelected="1" topLeftCell="A16" zoomScale="125" zoomScaleNormal="150" workbookViewId="0">
      <selection activeCell="P33" sqref="P33"/>
    </sheetView>
  </sheetViews>
  <sheetFormatPr baseColWidth="10" defaultRowHeight="16"/>
  <cols>
    <col min="1" max="1" width="10.83203125" style="1"/>
    <col min="2" max="2" width="10.83203125" style="2"/>
    <col min="3" max="14" width="10.83203125" style="1"/>
    <col min="17" max="16384" width="10.83203125" style="1"/>
  </cols>
  <sheetData>
    <row r="1" spans="1:16">
      <c r="A1" s="6" t="s">
        <v>0</v>
      </c>
      <c r="B1" s="6"/>
      <c r="C1" s="6" t="s">
        <v>1</v>
      </c>
      <c r="D1" s="6"/>
      <c r="E1" s="6" t="s">
        <v>11</v>
      </c>
      <c r="F1" s="6"/>
      <c r="G1" s="6" t="s">
        <v>12</v>
      </c>
      <c r="H1" s="6"/>
      <c r="I1" s="6" t="s">
        <v>13</v>
      </c>
      <c r="J1" s="6"/>
      <c r="K1" s="7" t="s">
        <v>14</v>
      </c>
      <c r="L1" s="7"/>
      <c r="M1" s="6" t="s">
        <v>20</v>
      </c>
      <c r="N1" s="6"/>
      <c r="O1" s="6" t="s">
        <v>22</v>
      </c>
      <c r="P1" s="6"/>
    </row>
    <row r="2" spans="1:16">
      <c r="A2" s="6" t="s">
        <v>6</v>
      </c>
      <c r="B2" s="6"/>
      <c r="C2" s="1" t="s">
        <v>3</v>
      </c>
      <c r="D2" s="1" t="s">
        <v>5</v>
      </c>
      <c r="E2" s="1" t="s">
        <v>3</v>
      </c>
      <c r="F2" s="1" t="s">
        <v>5</v>
      </c>
      <c r="G2" s="1" t="s">
        <v>3</v>
      </c>
      <c r="H2" s="1" t="s">
        <v>5</v>
      </c>
      <c r="I2" s="1" t="s">
        <v>3</v>
      </c>
      <c r="J2" s="1" t="s">
        <v>5</v>
      </c>
      <c r="K2" s="3" t="s">
        <v>2</v>
      </c>
      <c r="L2" s="3" t="s">
        <v>4</v>
      </c>
      <c r="M2" s="3" t="s">
        <v>2</v>
      </c>
      <c r="N2" s="3" t="s">
        <v>4</v>
      </c>
      <c r="O2" s="3" t="s">
        <v>2</v>
      </c>
      <c r="P2" s="3" t="s">
        <v>4</v>
      </c>
    </row>
    <row r="3" spans="1:16">
      <c r="A3" s="6" t="s">
        <v>7</v>
      </c>
      <c r="B3" s="2">
        <v>96</v>
      </c>
      <c r="C3" s="1">
        <v>0.39100000000000001</v>
      </c>
      <c r="D3" s="1">
        <v>0.40200000000000002</v>
      </c>
      <c r="E3" s="1">
        <v>0.39600000000000002</v>
      </c>
      <c r="F3" s="1">
        <v>0.41</v>
      </c>
      <c r="G3" s="1">
        <v>0.39300000000000002</v>
      </c>
      <c r="H3" s="1">
        <v>0.40899999999999997</v>
      </c>
      <c r="I3" s="1">
        <v>0.38</v>
      </c>
      <c r="J3" s="1">
        <v>0.39900000000000002</v>
      </c>
      <c r="K3" s="1">
        <v>0.38600000000000001</v>
      </c>
      <c r="L3" s="1">
        <v>0.39900000000000002</v>
      </c>
      <c r="M3" s="1">
        <v>0.373</v>
      </c>
      <c r="N3" s="1">
        <v>0.39600000000000002</v>
      </c>
      <c r="O3" s="1">
        <v>0.375</v>
      </c>
      <c r="P3" s="1">
        <v>0.39700000000000002</v>
      </c>
    </row>
    <row r="4" spans="1:16">
      <c r="A4" s="6"/>
      <c r="B4" s="2">
        <v>192</v>
      </c>
      <c r="C4" s="1">
        <v>0.438</v>
      </c>
      <c r="D4" s="1">
        <v>0.42799999999999999</v>
      </c>
      <c r="E4" s="1">
        <v>0.44500000000000001</v>
      </c>
      <c r="F4" s="1">
        <v>0.44</v>
      </c>
      <c r="G4" s="1">
        <v>0.45100000000000001</v>
      </c>
      <c r="H4" s="1">
        <v>0.443</v>
      </c>
      <c r="I4" s="1">
        <v>0.43099999999999999</v>
      </c>
      <c r="J4" s="1">
        <v>0.434</v>
      </c>
      <c r="K4" s="1">
        <v>0.438</v>
      </c>
      <c r="L4" s="1">
        <v>0.43</v>
      </c>
      <c r="M4" s="1">
        <v>0.42799999999999999</v>
      </c>
      <c r="N4" s="1">
        <v>0.43099999999999999</v>
      </c>
      <c r="O4" s="1">
        <v>0.42799999999999999</v>
      </c>
      <c r="P4" s="1">
        <v>0.434</v>
      </c>
    </row>
    <row r="5" spans="1:16">
      <c r="A5" s="6"/>
      <c r="B5" s="2">
        <v>336</v>
      </c>
      <c r="C5" s="1">
        <v>0.47899999999999998</v>
      </c>
      <c r="D5" s="1">
        <v>0.45600000000000002</v>
      </c>
      <c r="E5" s="1">
        <v>0.48699999999999999</v>
      </c>
      <c r="F5" s="1">
        <v>0.46500000000000002</v>
      </c>
      <c r="G5" s="1">
        <v>0.49299999999999999</v>
      </c>
      <c r="H5" s="1">
        <v>0.46600000000000003</v>
      </c>
      <c r="I5" s="1">
        <v>0.47099999999999997</v>
      </c>
      <c r="J5" s="1">
        <v>0.45800000000000002</v>
      </c>
      <c r="K5" s="1">
        <v>0.47199999999999998</v>
      </c>
      <c r="L5" s="1">
        <v>0.45500000000000002</v>
      </c>
      <c r="M5" s="1">
        <v>0.48499999999999999</v>
      </c>
      <c r="N5" s="1">
        <v>0.46200000000000002</v>
      </c>
      <c r="O5" s="1">
        <v>0.49099999999999999</v>
      </c>
      <c r="P5" s="1">
        <v>0.46899999999999997</v>
      </c>
    </row>
    <row r="6" spans="1:16">
      <c r="A6" s="6"/>
      <c r="B6" s="2">
        <v>720</v>
      </c>
      <c r="C6" s="1">
        <v>0.48599999999999999</v>
      </c>
      <c r="D6" s="1">
        <v>0.47599999999999998</v>
      </c>
      <c r="E6" s="1">
        <v>0.51</v>
      </c>
      <c r="F6" s="1">
        <v>0.50800000000000001</v>
      </c>
      <c r="G6" s="1">
        <v>0.52900000000000003</v>
      </c>
      <c r="H6" s="1">
        <v>0.50900000000000001</v>
      </c>
      <c r="I6" s="1">
        <v>0.50700000000000001</v>
      </c>
      <c r="J6" s="1">
        <v>0.497</v>
      </c>
      <c r="K6" s="1">
        <v>0.50700000000000001</v>
      </c>
      <c r="L6" s="1">
        <v>0.49299999999999999</v>
      </c>
      <c r="M6" s="1">
        <v>0.50700000000000001</v>
      </c>
      <c r="N6" s="1">
        <v>0.48799999999999999</v>
      </c>
      <c r="O6" s="1">
        <v>0.55800000000000005</v>
      </c>
      <c r="P6" s="1">
        <v>0.51400000000000001</v>
      </c>
    </row>
    <row r="7" spans="1:16">
      <c r="A7" s="6"/>
      <c r="B7" s="2" t="s">
        <v>15</v>
      </c>
      <c r="C7" s="1">
        <f>AVERAGE(C3:C6)</f>
        <v>0.44849999999999995</v>
      </c>
      <c r="D7" s="1">
        <f t="shared" ref="D7:N7" si="0">AVERAGE(D3:D6)</f>
        <v>0.4405</v>
      </c>
      <c r="E7" s="1">
        <f t="shared" si="0"/>
        <v>0.45949999999999996</v>
      </c>
      <c r="F7" s="1">
        <f t="shared" si="0"/>
        <v>0.45574999999999999</v>
      </c>
      <c r="G7" s="1">
        <f t="shared" si="0"/>
        <v>0.46650000000000003</v>
      </c>
      <c r="H7" s="1">
        <f t="shared" si="0"/>
        <v>0.45674999999999999</v>
      </c>
      <c r="I7" s="1">
        <f t="shared" si="0"/>
        <v>0.44725000000000004</v>
      </c>
      <c r="J7" s="1">
        <f t="shared" si="0"/>
        <v>0.44699999999999995</v>
      </c>
      <c r="K7" s="1">
        <f t="shared" si="0"/>
        <v>0.45074999999999998</v>
      </c>
      <c r="L7" s="1">
        <f t="shared" si="0"/>
        <v>0.44425000000000003</v>
      </c>
      <c r="M7" s="1">
        <f t="shared" si="0"/>
        <v>0.44825000000000004</v>
      </c>
      <c r="N7" s="1">
        <f t="shared" si="0"/>
        <v>0.44424999999999998</v>
      </c>
      <c r="O7" s="1">
        <f t="shared" ref="O7:P7" si="1">AVERAGE(O3:O6)</f>
        <v>0.46300000000000002</v>
      </c>
      <c r="P7" s="1">
        <f t="shared" si="1"/>
        <v>0.45349999999999996</v>
      </c>
    </row>
    <row r="8" spans="1:16">
      <c r="A8" s="6" t="s">
        <v>8</v>
      </c>
      <c r="B8" s="2">
        <v>96</v>
      </c>
      <c r="C8" s="1">
        <v>0.29499999999999998</v>
      </c>
      <c r="D8" s="1">
        <v>0.34300000000000003</v>
      </c>
      <c r="E8" s="1">
        <v>0.35099999999999998</v>
      </c>
      <c r="F8" s="1">
        <v>0.40200000000000002</v>
      </c>
      <c r="G8" s="1">
        <v>0.30099999999999999</v>
      </c>
      <c r="H8" s="1">
        <v>0.35</v>
      </c>
      <c r="I8" s="1">
        <v>0.30599999999999999</v>
      </c>
      <c r="J8" s="1">
        <v>0.35099999999999998</v>
      </c>
      <c r="K8" s="1">
        <v>0.28699999999999998</v>
      </c>
      <c r="L8" s="1">
        <v>0.33900000000000002</v>
      </c>
      <c r="M8" s="1">
        <v>0.29199999999999998</v>
      </c>
      <c r="N8" s="1">
        <v>0.34200000000000003</v>
      </c>
      <c r="O8" s="1">
        <v>0.29299999999999998</v>
      </c>
      <c r="P8" s="1">
        <v>0.34399999999999997</v>
      </c>
    </row>
    <row r="9" spans="1:16">
      <c r="A9" s="6"/>
      <c r="B9" s="2">
        <v>192</v>
      </c>
      <c r="C9" s="1">
        <v>0.375</v>
      </c>
      <c r="D9" s="1">
        <v>0.39500000000000002</v>
      </c>
      <c r="E9" s="1">
        <v>0.48199999999999998</v>
      </c>
      <c r="F9" s="1">
        <v>0.47899999999999998</v>
      </c>
      <c r="G9" s="1">
        <v>0.378</v>
      </c>
      <c r="H9" s="1">
        <v>0.39700000000000002</v>
      </c>
      <c r="I9" s="1">
        <v>0.373</v>
      </c>
      <c r="J9" s="1">
        <v>0.39900000000000002</v>
      </c>
      <c r="K9" s="1">
        <v>0.36699999999999999</v>
      </c>
      <c r="L9" s="1">
        <v>0.39100000000000001</v>
      </c>
      <c r="M9" s="1">
        <v>0.37</v>
      </c>
      <c r="N9" s="1">
        <v>0.39200000000000002</v>
      </c>
      <c r="O9" s="1">
        <v>0.38</v>
      </c>
      <c r="P9" s="1">
        <v>0.39800000000000002</v>
      </c>
    </row>
    <row r="10" spans="1:16">
      <c r="A10" s="6"/>
      <c r="B10" s="2">
        <v>336</v>
      </c>
      <c r="C10" s="1">
        <v>0.42099999999999999</v>
      </c>
      <c r="D10" s="1">
        <v>0.43</v>
      </c>
      <c r="E10" s="1">
        <v>0.6</v>
      </c>
      <c r="F10" s="1">
        <v>0.54400000000000004</v>
      </c>
      <c r="G10" s="1">
        <v>0.435</v>
      </c>
      <c r="H10" s="1">
        <v>0.438</v>
      </c>
      <c r="I10" s="1">
        <v>0.42099999999999999</v>
      </c>
      <c r="J10" s="1">
        <v>0.435</v>
      </c>
      <c r="K10" s="1">
        <v>0.42599999999999999</v>
      </c>
      <c r="L10" s="1">
        <v>0.43099999999999999</v>
      </c>
      <c r="M10" s="1">
        <v>0.40799999999999997</v>
      </c>
      <c r="N10" s="1">
        <v>0.42099999999999999</v>
      </c>
      <c r="O10" s="1">
        <v>0.46500000000000002</v>
      </c>
      <c r="P10" s="1">
        <v>0.441</v>
      </c>
    </row>
    <row r="11" spans="1:16">
      <c r="A11" s="6"/>
      <c r="B11" s="2">
        <v>720</v>
      </c>
      <c r="C11" s="1">
        <v>0.42499999999999999</v>
      </c>
      <c r="D11" s="1">
        <v>0.441</v>
      </c>
      <c r="E11" s="1">
        <v>0.83699999999999997</v>
      </c>
      <c r="F11" s="1">
        <v>0.66</v>
      </c>
      <c r="G11" s="1">
        <v>0.44500000000000001</v>
      </c>
      <c r="H11" s="1">
        <v>0.45400000000000001</v>
      </c>
      <c r="I11" s="1">
        <v>0.44</v>
      </c>
      <c r="J11" s="1">
        <v>0.45500000000000002</v>
      </c>
      <c r="K11" s="1">
        <v>0.42299999999999999</v>
      </c>
      <c r="L11" s="1">
        <v>0.441</v>
      </c>
      <c r="M11" s="1">
        <v>0.42399999999999999</v>
      </c>
      <c r="N11" s="1">
        <v>0.442</v>
      </c>
      <c r="O11" s="1">
        <v>0.46200000000000002</v>
      </c>
      <c r="P11" s="1">
        <v>0.46600000000000003</v>
      </c>
    </row>
    <row r="12" spans="1:16">
      <c r="A12" s="6"/>
      <c r="B12" s="2" t="s">
        <v>15</v>
      </c>
      <c r="C12" s="1">
        <f>AVERAGE(C8:C11)</f>
        <v>0.379</v>
      </c>
      <c r="D12" s="1">
        <f t="shared" ref="D12:N12" si="2">AVERAGE(D8:D11)</f>
        <v>0.40225</v>
      </c>
      <c r="E12" s="1">
        <f t="shared" si="2"/>
        <v>0.56749999999999989</v>
      </c>
      <c r="F12" s="1">
        <f t="shared" si="2"/>
        <v>0.52124999999999999</v>
      </c>
      <c r="G12" s="1">
        <f t="shared" si="2"/>
        <v>0.38975000000000004</v>
      </c>
      <c r="H12" s="1">
        <f t="shared" si="2"/>
        <v>0.40975</v>
      </c>
      <c r="I12" s="1">
        <f t="shared" si="2"/>
        <v>0.38500000000000001</v>
      </c>
      <c r="J12" s="1">
        <f t="shared" si="2"/>
        <v>0.41000000000000003</v>
      </c>
      <c r="K12" s="1">
        <f t="shared" si="2"/>
        <v>0.37574999999999997</v>
      </c>
      <c r="L12" s="1">
        <f t="shared" si="2"/>
        <v>0.40050000000000002</v>
      </c>
      <c r="M12" s="1">
        <f t="shared" si="2"/>
        <v>0.37349999999999994</v>
      </c>
      <c r="N12" s="1">
        <f t="shared" si="2"/>
        <v>0.39924999999999999</v>
      </c>
      <c r="O12" s="1">
        <f t="shared" ref="O12:P12" si="3">AVERAGE(O8:O11)</f>
        <v>0.4</v>
      </c>
      <c r="P12" s="1">
        <f t="shared" si="3"/>
        <v>0.41225000000000001</v>
      </c>
    </row>
    <row r="13" spans="1:16">
      <c r="A13" s="6" t="s">
        <v>9</v>
      </c>
      <c r="B13" s="2">
        <v>96</v>
      </c>
      <c r="C13" s="1">
        <v>0.33200000000000002</v>
      </c>
      <c r="D13" s="1">
        <v>0.36499999999999999</v>
      </c>
      <c r="E13" s="1">
        <v>0.34499999999999997</v>
      </c>
      <c r="F13" s="1">
        <v>0.372</v>
      </c>
      <c r="G13" s="1">
        <v>0.33900000000000002</v>
      </c>
      <c r="H13" s="1">
        <v>0.374</v>
      </c>
      <c r="I13" s="1">
        <v>0.32400000000000001</v>
      </c>
      <c r="J13" s="1">
        <v>0.36499999999999999</v>
      </c>
      <c r="K13" s="1">
        <v>0.32500000000000001</v>
      </c>
      <c r="L13" s="1">
        <v>0.36099999999999999</v>
      </c>
      <c r="M13" s="1">
        <v>0.32500000000000001</v>
      </c>
      <c r="N13" s="1">
        <v>0.36499999999999999</v>
      </c>
      <c r="O13" s="1">
        <v>0.32100000000000001</v>
      </c>
      <c r="P13" s="1">
        <v>0.35899999999999999</v>
      </c>
    </row>
    <row r="14" spans="1:16">
      <c r="A14" s="6"/>
      <c r="B14" s="2">
        <v>192</v>
      </c>
      <c r="C14" s="1">
        <v>0.374</v>
      </c>
      <c r="D14" s="1">
        <v>0.38800000000000001</v>
      </c>
      <c r="E14" s="1">
        <v>0.38200000000000001</v>
      </c>
      <c r="F14" s="1">
        <v>0.39</v>
      </c>
      <c r="G14" s="1">
        <v>0.38200000000000001</v>
      </c>
      <c r="H14" s="1">
        <v>0.39600000000000002</v>
      </c>
      <c r="I14" s="1">
        <v>0.36599999999999999</v>
      </c>
      <c r="J14" s="1">
        <v>0.38900000000000001</v>
      </c>
      <c r="K14" s="1">
        <v>0.36799999999999999</v>
      </c>
      <c r="L14" s="1">
        <v>0.38500000000000001</v>
      </c>
      <c r="M14" s="1">
        <v>0.36699999999999999</v>
      </c>
      <c r="N14" s="1">
        <v>0.39</v>
      </c>
      <c r="O14" s="1">
        <v>0.37</v>
      </c>
      <c r="P14" s="1">
        <v>0.38700000000000001</v>
      </c>
    </row>
    <row r="15" spans="1:16">
      <c r="A15" s="6"/>
      <c r="B15" s="2">
        <v>336</v>
      </c>
      <c r="C15" s="1">
        <v>0.41099999999999998</v>
      </c>
      <c r="D15" s="1">
        <v>0.41099999999999998</v>
      </c>
      <c r="E15" s="1">
        <v>0.41299999999999998</v>
      </c>
      <c r="F15" s="1">
        <v>0.41199999999999998</v>
      </c>
      <c r="G15" s="1">
        <v>0.41699999999999998</v>
      </c>
      <c r="H15" s="1">
        <v>0.41799999999999998</v>
      </c>
      <c r="I15" s="1">
        <v>0.39700000000000002</v>
      </c>
      <c r="J15" s="1">
        <v>0.40899999999999997</v>
      </c>
      <c r="K15" s="1">
        <v>0.40500000000000003</v>
      </c>
      <c r="L15" s="1">
        <v>0.40899999999999997</v>
      </c>
      <c r="M15" s="1">
        <v>0.39900000000000002</v>
      </c>
      <c r="N15" s="1">
        <v>0.41199999999999998</v>
      </c>
      <c r="O15" s="1">
        <v>0.39200000000000002</v>
      </c>
      <c r="P15" s="1">
        <v>0.40500000000000003</v>
      </c>
    </row>
    <row r="16" spans="1:16">
      <c r="A16" s="6"/>
      <c r="B16" s="2">
        <v>720</v>
      </c>
      <c r="C16" s="1">
        <v>0.47199999999999998</v>
      </c>
      <c r="D16" s="1">
        <v>0.44500000000000001</v>
      </c>
      <c r="E16" s="1">
        <v>0.47199999999999998</v>
      </c>
      <c r="F16" s="1">
        <v>0.44900000000000001</v>
      </c>
      <c r="G16" s="1">
        <v>0.49099999999999999</v>
      </c>
      <c r="H16" s="1">
        <v>0.45900000000000002</v>
      </c>
      <c r="I16" s="1">
        <v>0.46200000000000002</v>
      </c>
      <c r="J16" s="1">
        <v>0.45200000000000001</v>
      </c>
      <c r="K16" s="1">
        <v>0.46100000000000002</v>
      </c>
      <c r="L16" s="1">
        <v>0.44400000000000001</v>
      </c>
      <c r="M16" s="1">
        <v>0.45700000000000002</v>
      </c>
      <c r="N16" s="1">
        <v>0.44500000000000001</v>
      </c>
      <c r="O16" s="1">
        <v>0.45900000000000002</v>
      </c>
      <c r="P16" s="1">
        <v>0.44500000000000001</v>
      </c>
    </row>
    <row r="17" spans="1:16">
      <c r="A17" s="6"/>
      <c r="B17" s="2" t="s">
        <v>15</v>
      </c>
      <c r="C17" s="1">
        <f>AVERAGE(C13:C16)</f>
        <v>0.39724999999999999</v>
      </c>
      <c r="D17" s="1">
        <f t="shared" ref="D17:N17" si="4">AVERAGE(D13:D16)</f>
        <v>0.40225</v>
      </c>
      <c r="E17" s="1">
        <f t="shared" si="4"/>
        <v>0.40299999999999997</v>
      </c>
      <c r="F17" s="1">
        <f t="shared" si="4"/>
        <v>0.40575</v>
      </c>
      <c r="G17" s="1">
        <f t="shared" si="4"/>
        <v>0.40725</v>
      </c>
      <c r="H17" s="1">
        <f t="shared" si="4"/>
        <v>0.41175</v>
      </c>
      <c r="I17" s="1">
        <f t="shared" si="4"/>
        <v>0.38724999999999998</v>
      </c>
      <c r="J17" s="1">
        <f t="shared" si="4"/>
        <v>0.40375</v>
      </c>
      <c r="K17" s="1">
        <f t="shared" si="4"/>
        <v>0.38975000000000004</v>
      </c>
      <c r="L17" s="1">
        <f t="shared" si="4"/>
        <v>0.39974999999999999</v>
      </c>
      <c r="M17" s="1">
        <f t="shared" si="4"/>
        <v>0.38700000000000001</v>
      </c>
      <c r="N17" s="1">
        <f t="shared" si="4"/>
        <v>0.40300000000000002</v>
      </c>
      <c r="O17" s="1">
        <f t="shared" ref="O17:P17" si="5">AVERAGE(O13:O16)</f>
        <v>0.38550000000000006</v>
      </c>
      <c r="P17" s="1">
        <f t="shared" si="5"/>
        <v>0.39900000000000002</v>
      </c>
    </row>
    <row r="18" spans="1:16">
      <c r="A18" s="6" t="s">
        <v>10</v>
      </c>
      <c r="B18" s="2">
        <v>96</v>
      </c>
      <c r="C18" s="1">
        <v>0.17499999999999999</v>
      </c>
      <c r="D18" s="1">
        <v>0.25700000000000001</v>
      </c>
      <c r="E18" s="1">
        <v>0.19800000000000001</v>
      </c>
      <c r="F18" s="1">
        <v>0.29799999999999999</v>
      </c>
      <c r="G18" s="1">
        <v>0.183</v>
      </c>
      <c r="H18" s="1">
        <v>0.26500000000000001</v>
      </c>
      <c r="I18" s="1">
        <v>0.192</v>
      </c>
      <c r="J18" s="1">
        <v>0.27200000000000002</v>
      </c>
      <c r="K18" s="1">
        <v>0.17100000000000001</v>
      </c>
      <c r="L18" s="1">
        <v>0.25600000000000001</v>
      </c>
      <c r="M18" s="1">
        <v>0.18099999999999999</v>
      </c>
      <c r="N18" s="1">
        <v>0.26100000000000001</v>
      </c>
      <c r="O18" s="1">
        <v>0.17799999999999999</v>
      </c>
      <c r="P18" s="1">
        <v>0.26200000000000001</v>
      </c>
    </row>
    <row r="19" spans="1:16">
      <c r="A19" s="6"/>
      <c r="B19" s="2">
        <v>192</v>
      </c>
      <c r="C19" s="1">
        <v>0.246</v>
      </c>
      <c r="D19" s="1">
        <v>0.30399999999999999</v>
      </c>
      <c r="E19" s="1">
        <v>0.28899999999999998</v>
      </c>
      <c r="F19" s="1">
        <v>0.36499999999999999</v>
      </c>
      <c r="G19" s="1">
        <v>0.252</v>
      </c>
      <c r="H19" s="1">
        <v>0.312</v>
      </c>
      <c r="I19" s="1">
        <v>0.26100000000000001</v>
      </c>
      <c r="J19" s="1">
        <v>0.317</v>
      </c>
      <c r="K19" s="1">
        <v>0.245</v>
      </c>
      <c r="L19" s="1">
        <v>0.30399999999999999</v>
      </c>
      <c r="M19" s="1">
        <v>0.252</v>
      </c>
      <c r="N19" s="1">
        <v>0.308</v>
      </c>
      <c r="O19" s="1">
        <v>0.25600000000000001</v>
      </c>
      <c r="P19" s="1">
        <v>0.314</v>
      </c>
    </row>
    <row r="20" spans="1:16">
      <c r="A20" s="6"/>
      <c r="B20" s="2">
        <v>336</v>
      </c>
      <c r="C20" s="1">
        <v>0.30099999999999999</v>
      </c>
      <c r="D20" s="1">
        <v>0.33800000000000002</v>
      </c>
      <c r="E20" s="1">
        <v>0.38900000000000001</v>
      </c>
      <c r="F20" s="1">
        <v>0.43099999999999999</v>
      </c>
      <c r="G20" s="1">
        <v>0.31900000000000001</v>
      </c>
      <c r="H20" s="1">
        <v>0.35299999999999998</v>
      </c>
      <c r="I20" s="1">
        <v>0.32</v>
      </c>
      <c r="J20" s="1">
        <v>0.35399999999999998</v>
      </c>
      <c r="K20" s="1">
        <v>0.3</v>
      </c>
      <c r="L20" s="1">
        <v>0.34</v>
      </c>
      <c r="M20" s="1">
        <v>0.31900000000000001</v>
      </c>
      <c r="N20" s="1">
        <v>0.35</v>
      </c>
      <c r="O20" s="1">
        <v>0.33500000000000002</v>
      </c>
      <c r="P20" s="1">
        <v>0.36799999999999999</v>
      </c>
    </row>
    <row r="21" spans="1:16">
      <c r="A21" s="6"/>
      <c r="B21" s="2">
        <v>720</v>
      </c>
      <c r="C21" s="1">
        <v>0.40400000000000003</v>
      </c>
      <c r="D21" s="1">
        <v>0.4</v>
      </c>
      <c r="E21" s="1">
        <v>0.55700000000000005</v>
      </c>
      <c r="F21" s="1">
        <v>0.52400000000000002</v>
      </c>
      <c r="G21" s="1">
        <v>0.41599999999999998</v>
      </c>
      <c r="H21" s="1">
        <v>0.40799999999999997</v>
      </c>
      <c r="I21" s="1">
        <v>0.443</v>
      </c>
      <c r="J21" s="1">
        <v>0.42399999999999999</v>
      </c>
      <c r="K21" s="1">
        <v>0.40300000000000002</v>
      </c>
      <c r="L21" s="1">
        <v>0.39900000000000002</v>
      </c>
      <c r="M21" s="1">
        <v>0.42099999999999999</v>
      </c>
      <c r="N21" s="1">
        <v>0.41099999999999998</v>
      </c>
      <c r="O21" s="1">
        <v>0.42</v>
      </c>
      <c r="P21" s="1">
        <v>0.41599999999999998</v>
      </c>
    </row>
    <row r="22" spans="1:16">
      <c r="A22" s="6"/>
      <c r="B22" s="2" t="s">
        <v>15</v>
      </c>
      <c r="C22" s="1">
        <f>AVERAGE(C18:C21)</f>
        <v>0.28149999999999997</v>
      </c>
      <c r="D22" s="1">
        <f t="shared" ref="D22:N22" si="6">AVERAGE(D18:D21)</f>
        <v>0.32474999999999998</v>
      </c>
      <c r="E22" s="1">
        <f t="shared" si="6"/>
        <v>0.35825000000000001</v>
      </c>
      <c r="F22" s="1">
        <f t="shared" si="6"/>
        <v>0.40450000000000003</v>
      </c>
      <c r="G22" s="1">
        <f t="shared" si="6"/>
        <v>0.29249999999999998</v>
      </c>
      <c r="H22" s="1">
        <f t="shared" si="6"/>
        <v>0.33449999999999996</v>
      </c>
      <c r="I22" s="1">
        <f t="shared" si="6"/>
        <v>0.30399999999999999</v>
      </c>
      <c r="J22" s="1">
        <f t="shared" si="6"/>
        <v>0.34175</v>
      </c>
      <c r="K22" s="1">
        <f t="shared" si="6"/>
        <v>0.27975</v>
      </c>
      <c r="L22" s="1">
        <f t="shared" si="6"/>
        <v>0.32475000000000004</v>
      </c>
      <c r="M22" s="1">
        <f t="shared" si="6"/>
        <v>0.29325000000000001</v>
      </c>
      <c r="N22" s="1">
        <f t="shared" si="6"/>
        <v>0.33249999999999996</v>
      </c>
      <c r="O22" s="1">
        <f t="shared" ref="O22:P22" si="7">AVERAGE(O18:O21)</f>
        <v>0.29725000000000001</v>
      </c>
      <c r="P22" s="1">
        <f t="shared" si="7"/>
        <v>0.34</v>
      </c>
    </row>
    <row r="23" spans="1:16">
      <c r="A23" s="6" t="s">
        <v>21</v>
      </c>
      <c r="B23" s="6"/>
      <c r="C23" s="1">
        <f>AVERAGE(C7,C12,C17,C22)</f>
        <v>0.37656249999999991</v>
      </c>
      <c r="D23" s="4">
        <f t="shared" ref="D23:N23" si="8">AVERAGE(D7,D12,D17,D22)</f>
        <v>0.39243749999999999</v>
      </c>
      <c r="E23" s="1">
        <f t="shared" si="8"/>
        <v>0.44706249999999997</v>
      </c>
      <c r="F23" s="1">
        <f t="shared" si="8"/>
        <v>0.4468125</v>
      </c>
      <c r="G23" s="1">
        <f t="shared" si="8"/>
        <v>0.38900000000000001</v>
      </c>
      <c r="H23" s="1">
        <f t="shared" si="8"/>
        <v>0.40318750000000003</v>
      </c>
      <c r="I23" s="1">
        <f t="shared" si="8"/>
        <v>0.38087500000000002</v>
      </c>
      <c r="J23" s="1">
        <f t="shared" si="8"/>
        <v>0.40062500000000001</v>
      </c>
      <c r="K23" s="4">
        <f t="shared" si="8"/>
        <v>0.374</v>
      </c>
      <c r="L23" s="5">
        <f t="shared" si="8"/>
        <v>0.39231250000000006</v>
      </c>
      <c r="M23" s="5">
        <f t="shared" si="8"/>
        <v>0.3755</v>
      </c>
      <c r="N23" s="1">
        <f t="shared" si="8"/>
        <v>0.39474999999999999</v>
      </c>
      <c r="O23" s="1">
        <f t="shared" ref="O23:P23" si="9">AVERAGE(O7,O12,O17,O22)</f>
        <v>0.38643749999999999</v>
      </c>
      <c r="P23" s="1">
        <f t="shared" si="9"/>
        <v>0.40118750000000003</v>
      </c>
    </row>
    <row r="24" spans="1:16">
      <c r="A24" s="6" t="s">
        <v>16</v>
      </c>
      <c r="B24" s="2">
        <v>96</v>
      </c>
      <c r="C24" s="1">
        <v>0.153</v>
      </c>
      <c r="D24" s="1">
        <v>0.253</v>
      </c>
      <c r="E24" s="1">
        <v>0.21</v>
      </c>
      <c r="F24" s="1">
        <v>0.30199999999999999</v>
      </c>
      <c r="G24" s="1">
        <v>0.16300000000000001</v>
      </c>
      <c r="H24" s="1">
        <v>0.252</v>
      </c>
      <c r="I24" s="1">
        <v>0.184</v>
      </c>
      <c r="J24" s="1">
        <v>0.27700000000000002</v>
      </c>
      <c r="K24" s="1">
        <v>0.16</v>
      </c>
      <c r="L24" s="1">
        <v>0.26</v>
      </c>
      <c r="M24" s="1">
        <v>0.188</v>
      </c>
      <c r="N24" s="1">
        <v>0.27600000000000002</v>
      </c>
      <c r="O24" s="1">
        <v>0.158</v>
      </c>
      <c r="P24" s="1">
        <v>0.25</v>
      </c>
    </row>
    <row r="25" spans="1:16">
      <c r="A25" s="6"/>
      <c r="B25" s="2">
        <v>192</v>
      </c>
      <c r="C25" s="1">
        <v>0.17</v>
      </c>
      <c r="D25" s="1">
        <v>0.26700000000000002</v>
      </c>
      <c r="E25" s="1">
        <v>0.21</v>
      </c>
      <c r="F25" s="1">
        <v>0.30499999999999999</v>
      </c>
      <c r="G25" s="1">
        <v>0.17499999999999999</v>
      </c>
      <c r="H25" s="1">
        <v>0.26300000000000001</v>
      </c>
      <c r="I25" s="1">
        <v>0.19</v>
      </c>
      <c r="J25" s="1">
        <v>0.28199999999999997</v>
      </c>
      <c r="K25" s="1">
        <v>0.17699999999999999</v>
      </c>
      <c r="L25" s="1">
        <v>0.27300000000000002</v>
      </c>
      <c r="M25" s="1">
        <v>0.193</v>
      </c>
      <c r="N25" s="1">
        <v>0.28199999999999997</v>
      </c>
      <c r="O25" s="1">
        <v>0.17100000000000001</v>
      </c>
      <c r="P25" s="1">
        <v>0.26100000000000001</v>
      </c>
    </row>
    <row r="26" spans="1:16">
      <c r="A26" s="6"/>
      <c r="B26" s="2">
        <v>336</v>
      </c>
      <c r="C26" s="1">
        <v>0.192</v>
      </c>
      <c r="D26" s="1">
        <v>0.28999999999999998</v>
      </c>
      <c r="E26" s="1">
        <v>0.223</v>
      </c>
      <c r="F26" s="1">
        <v>0.31900000000000001</v>
      </c>
      <c r="G26" s="1">
        <v>0.192</v>
      </c>
      <c r="H26" s="1">
        <v>0.28000000000000003</v>
      </c>
      <c r="I26" s="1">
        <v>0.20699999999999999</v>
      </c>
      <c r="J26" s="1">
        <v>0.29799999999999999</v>
      </c>
      <c r="K26" s="1">
        <v>0.19500000000000001</v>
      </c>
      <c r="L26" s="1">
        <v>0.29099999999999998</v>
      </c>
      <c r="M26" s="1">
        <v>0.20899999999999999</v>
      </c>
      <c r="N26" s="1">
        <v>0.29699999999999999</v>
      </c>
      <c r="O26" s="1">
        <v>0.187</v>
      </c>
      <c r="P26" s="1">
        <v>0.27700000000000002</v>
      </c>
    </row>
    <row r="27" spans="1:16">
      <c r="A27" s="6"/>
      <c r="B27" s="2">
        <v>720</v>
      </c>
      <c r="C27" s="1">
        <v>0.23</v>
      </c>
      <c r="D27" s="1">
        <v>0.318</v>
      </c>
      <c r="E27" s="1">
        <v>0.25800000000000001</v>
      </c>
      <c r="F27" s="1">
        <v>0.35</v>
      </c>
      <c r="G27" s="1">
        <v>0.23</v>
      </c>
      <c r="H27" s="1">
        <v>0.313</v>
      </c>
      <c r="I27" s="1">
        <v>0.249</v>
      </c>
      <c r="J27" s="1">
        <v>0.33100000000000002</v>
      </c>
      <c r="K27" s="1">
        <v>0.23799999999999999</v>
      </c>
      <c r="L27" s="1">
        <v>0.32500000000000001</v>
      </c>
      <c r="M27" s="1">
        <v>0.251</v>
      </c>
      <c r="N27" s="1">
        <v>0.33</v>
      </c>
      <c r="O27" s="1">
        <v>0.22700000000000001</v>
      </c>
      <c r="P27" s="1">
        <v>0.311</v>
      </c>
    </row>
    <row r="28" spans="1:16">
      <c r="A28" s="6"/>
      <c r="B28" s="2" t="s">
        <v>15</v>
      </c>
      <c r="C28" s="4">
        <f>AVERAGE(C24:C27)</f>
        <v>0.18625</v>
      </c>
      <c r="D28" s="8">
        <f>AVERAGE(D24:D27)</f>
        <v>0.28200000000000003</v>
      </c>
      <c r="E28" s="1">
        <f t="shared" ref="E28:M28" si="10">AVERAGE(E24:E27)</f>
        <v>0.22525000000000001</v>
      </c>
      <c r="F28" s="1">
        <f t="shared" si="10"/>
        <v>0.31899999999999995</v>
      </c>
      <c r="G28" s="8">
        <f t="shared" si="10"/>
        <v>0.19</v>
      </c>
      <c r="H28" s="5">
        <f t="shared" si="10"/>
        <v>0.27700000000000002</v>
      </c>
      <c r="I28" s="1">
        <f t="shared" si="10"/>
        <v>0.20749999999999999</v>
      </c>
      <c r="J28" s="1">
        <f t="shared" si="10"/>
        <v>0.29699999999999999</v>
      </c>
      <c r="K28" s="1">
        <f t="shared" si="10"/>
        <v>0.1925</v>
      </c>
      <c r="L28" s="1">
        <f t="shared" ref="L28:O28" si="11">AVERAGE(L24:L27)</f>
        <v>0.28725000000000001</v>
      </c>
      <c r="M28" s="1">
        <f t="shared" si="10"/>
        <v>0.21024999999999999</v>
      </c>
      <c r="N28" s="1">
        <f t="shared" si="11"/>
        <v>0.29625000000000001</v>
      </c>
      <c r="O28" s="5">
        <f t="shared" si="11"/>
        <v>0.18575</v>
      </c>
      <c r="P28" s="4">
        <f t="shared" ref="P28" si="12">AVERAGE(P24:P27)</f>
        <v>0.27474999999999999</v>
      </c>
    </row>
    <row r="29" spans="1:16">
      <c r="A29" s="6" t="s">
        <v>17</v>
      </c>
      <c r="B29" s="2">
        <v>96</v>
      </c>
      <c r="C29" s="1">
        <v>0.46300000000000002</v>
      </c>
      <c r="D29" s="1">
        <v>0.31</v>
      </c>
      <c r="E29" s="1">
        <v>0.69599999999999995</v>
      </c>
      <c r="F29" s="1">
        <v>0.42799999999999999</v>
      </c>
      <c r="G29" s="1">
        <v>0.45900000000000002</v>
      </c>
      <c r="H29" s="1">
        <v>0.313</v>
      </c>
      <c r="I29" s="1">
        <v>0.52500000000000002</v>
      </c>
      <c r="J29" s="1">
        <v>0.34499999999999997</v>
      </c>
      <c r="K29" s="1">
        <v>0.53100000000000003</v>
      </c>
      <c r="L29" s="1">
        <v>0.35599999999999998</v>
      </c>
      <c r="M29" s="1">
        <v>0.54900000000000004</v>
      </c>
      <c r="N29" s="1">
        <v>0.35599999999999998</v>
      </c>
      <c r="O29" s="1">
        <v>0.47899999999999998</v>
      </c>
      <c r="P29" s="1">
        <v>0.29399999999999998</v>
      </c>
    </row>
    <row r="30" spans="1:16">
      <c r="A30" s="6"/>
      <c r="B30" s="2">
        <v>192</v>
      </c>
      <c r="C30" s="1">
        <v>0.46899999999999997</v>
      </c>
      <c r="D30" s="1">
        <v>0.312</v>
      </c>
      <c r="E30" s="1">
        <v>0.64700000000000002</v>
      </c>
      <c r="F30" s="1">
        <v>0.40699999999999997</v>
      </c>
      <c r="G30" s="1">
        <v>0.47199999999999998</v>
      </c>
      <c r="H30" s="1">
        <v>0.317</v>
      </c>
      <c r="I30" s="1">
        <v>0.51900000000000002</v>
      </c>
      <c r="J30" s="1">
        <v>0.34</v>
      </c>
      <c r="K30" s="1">
        <v>0.52700000000000002</v>
      </c>
      <c r="L30" s="1">
        <v>0.35</v>
      </c>
      <c r="M30" s="1">
        <v>0.54300000000000004</v>
      </c>
      <c r="N30" s="1">
        <v>0.34899999999999998</v>
      </c>
      <c r="O30" s="1">
        <v>0.51800000000000002</v>
      </c>
      <c r="P30" s="1">
        <v>0.29899999999999999</v>
      </c>
    </row>
    <row r="31" spans="1:16">
      <c r="A31" s="6"/>
      <c r="B31" s="2">
        <v>336</v>
      </c>
      <c r="C31" s="1">
        <v>0.48699999999999999</v>
      </c>
      <c r="D31" s="1">
        <v>0.318</v>
      </c>
      <c r="E31" s="1">
        <v>0.65300000000000002</v>
      </c>
      <c r="F31" s="1">
        <v>0.41</v>
      </c>
      <c r="G31" s="1">
        <v>0.49199999999999999</v>
      </c>
      <c r="H31" s="1">
        <v>0.32700000000000001</v>
      </c>
      <c r="I31" s="1">
        <v>0.53300000000000003</v>
      </c>
      <c r="J31" s="1">
        <v>0.34499999999999997</v>
      </c>
      <c r="K31" s="1">
        <v>0.53900000000000003</v>
      </c>
      <c r="L31" s="1">
        <v>0.35299999999999998</v>
      </c>
      <c r="M31" s="1">
        <v>0.55000000000000004</v>
      </c>
      <c r="N31" s="1">
        <v>0.35299999999999998</v>
      </c>
      <c r="O31" s="1">
        <v>0.504</v>
      </c>
      <c r="P31" s="1">
        <v>0.309</v>
      </c>
    </row>
    <row r="32" spans="1:16">
      <c r="A32" s="6"/>
      <c r="B32" s="2">
        <v>720</v>
      </c>
      <c r="C32" s="1">
        <v>0.52400000000000002</v>
      </c>
      <c r="D32" s="1">
        <v>0.33700000000000002</v>
      </c>
      <c r="E32" s="1">
        <v>0.69399999999999995</v>
      </c>
      <c r="F32" s="1">
        <v>0.42899999999999999</v>
      </c>
      <c r="G32" s="1">
        <v>0.53</v>
      </c>
      <c r="H32" s="1">
        <v>0.35099999999999998</v>
      </c>
      <c r="I32" s="1">
        <v>0.56899999999999995</v>
      </c>
      <c r="J32" s="1">
        <v>0.36099999999999999</v>
      </c>
      <c r="K32" s="1">
        <v>0.57599999999999996</v>
      </c>
      <c r="L32" s="1">
        <v>0.371</v>
      </c>
      <c r="M32" s="1">
        <v>0.58899999999999997</v>
      </c>
      <c r="N32" s="1">
        <v>0.372</v>
      </c>
      <c r="O32" s="1">
        <v>0.53700000000000003</v>
      </c>
      <c r="P32" s="1">
        <v>0.32100000000000001</v>
      </c>
    </row>
    <row r="33" spans="1:16">
      <c r="A33" s="6"/>
      <c r="B33" s="2" t="s">
        <v>15</v>
      </c>
      <c r="C33" s="4">
        <f>AVERAGE(C29:C32)</f>
        <v>0.48575000000000002</v>
      </c>
      <c r="D33" s="4">
        <f>AVERAGE(D29:D32)</f>
        <v>0.31924999999999998</v>
      </c>
      <c r="E33" s="1">
        <f t="shared" ref="E33:N33" si="13">AVERAGE(E29:E32)</f>
        <v>0.67249999999999999</v>
      </c>
      <c r="F33" s="1">
        <f t="shared" si="13"/>
        <v>0.41849999999999998</v>
      </c>
      <c r="G33" s="5">
        <f t="shared" si="13"/>
        <v>0.48825000000000002</v>
      </c>
      <c r="H33" s="5">
        <f t="shared" si="13"/>
        <v>0.32700000000000001</v>
      </c>
      <c r="I33" s="1">
        <f t="shared" si="13"/>
        <v>0.53649999999999998</v>
      </c>
      <c r="J33" s="1">
        <f t="shared" si="13"/>
        <v>0.34775</v>
      </c>
      <c r="K33" s="1">
        <f t="shared" si="13"/>
        <v>0.54325000000000001</v>
      </c>
      <c r="L33" s="1">
        <f t="shared" si="13"/>
        <v>0.35749999999999998</v>
      </c>
      <c r="M33" s="1">
        <f t="shared" si="13"/>
        <v>0.55774999999999997</v>
      </c>
      <c r="N33" s="1">
        <f t="shared" si="13"/>
        <v>0.35749999999999993</v>
      </c>
      <c r="O33" s="1">
        <f t="shared" ref="O33:P33" si="14">AVERAGE(O29:O32)</f>
        <v>0.50949999999999995</v>
      </c>
      <c r="P33" s="1">
        <f t="shared" si="14"/>
        <v>0.30574999999999997</v>
      </c>
    </row>
    <row r="34" spans="1:16">
      <c r="A34" s="6" t="s">
        <v>18</v>
      </c>
      <c r="B34" s="2">
        <v>96</v>
      </c>
      <c r="C34" s="1">
        <v>8.6999999999999994E-2</v>
      </c>
      <c r="D34" s="1">
        <v>0.20699999999999999</v>
      </c>
      <c r="E34" s="1">
        <v>9.5000000000000001E-2</v>
      </c>
      <c r="F34" s="1">
        <v>0.22800000000000001</v>
      </c>
      <c r="G34" s="1">
        <v>0.12</v>
      </c>
      <c r="H34" s="1">
        <v>0.247</v>
      </c>
      <c r="I34" s="1">
        <v>8.5999999999999993E-2</v>
      </c>
      <c r="J34" s="1">
        <v>0.20300000000000001</v>
      </c>
      <c r="K34" s="1">
        <v>9.5000000000000001E-2</v>
      </c>
      <c r="L34" s="1">
        <v>0.215</v>
      </c>
      <c r="M34" s="1">
        <v>8.4000000000000005E-2</v>
      </c>
      <c r="N34" s="1">
        <v>0.20100000000000001</v>
      </c>
      <c r="O34" s="1">
        <v>0.11</v>
      </c>
      <c r="P34" s="1">
        <v>0.22800000000000001</v>
      </c>
    </row>
    <row r="35" spans="1:16">
      <c r="A35" s="6"/>
      <c r="B35" s="2">
        <v>192</v>
      </c>
      <c r="C35" s="1">
        <v>0.183</v>
      </c>
      <c r="D35" s="1">
        <v>0.30499999999999999</v>
      </c>
      <c r="E35" s="1">
        <v>0.185</v>
      </c>
      <c r="F35" s="1">
        <v>0.32400000000000001</v>
      </c>
      <c r="G35" s="1">
        <v>0.22500000000000001</v>
      </c>
      <c r="H35" s="1">
        <v>0.34499999999999997</v>
      </c>
      <c r="I35" s="1">
        <v>0.182</v>
      </c>
      <c r="J35" s="1">
        <v>0.30299999999999999</v>
      </c>
      <c r="K35" s="1">
        <v>0.19400000000000001</v>
      </c>
      <c r="L35" s="1">
        <v>0.316</v>
      </c>
      <c r="M35" s="1">
        <v>0.17799999999999999</v>
      </c>
      <c r="N35" s="1">
        <v>0.29899999999999999</v>
      </c>
      <c r="O35" s="1">
        <v>0.221</v>
      </c>
      <c r="P35" s="1">
        <v>0.33100000000000002</v>
      </c>
    </row>
    <row r="36" spans="1:16">
      <c r="A36" s="6"/>
      <c r="B36" s="2">
        <v>336</v>
      </c>
      <c r="C36" s="1">
        <v>0.34599999999999997</v>
      </c>
      <c r="D36" s="1">
        <v>0.42599999999999999</v>
      </c>
      <c r="E36" s="1">
        <v>0.33</v>
      </c>
      <c r="F36" s="1">
        <v>0.437</v>
      </c>
      <c r="G36" s="1">
        <v>0.39100000000000001</v>
      </c>
      <c r="H36" s="1">
        <v>0.45600000000000002</v>
      </c>
      <c r="I36" s="1">
        <v>0.34399999999999997</v>
      </c>
      <c r="J36" s="1">
        <v>0.42499999999999999</v>
      </c>
      <c r="K36" s="1">
        <v>0.372</v>
      </c>
      <c r="L36" s="1">
        <v>0.442</v>
      </c>
      <c r="M36" s="1">
        <v>0.33500000000000002</v>
      </c>
      <c r="N36" s="1">
        <v>0.41799999999999998</v>
      </c>
      <c r="O36" s="1">
        <v>0.39200000000000002</v>
      </c>
      <c r="P36" s="1">
        <v>0.45200000000000001</v>
      </c>
    </row>
    <row r="37" spans="1:16">
      <c r="A37" s="6"/>
      <c r="B37" s="2">
        <v>720</v>
      </c>
      <c r="C37" s="1">
        <v>0.86899999999999999</v>
      </c>
      <c r="D37" s="1">
        <v>0.70399999999999996</v>
      </c>
      <c r="E37" s="1">
        <v>0.80900000000000005</v>
      </c>
      <c r="F37" s="1">
        <v>0.67800000000000005</v>
      </c>
      <c r="G37" s="1">
        <v>0.92500000000000004</v>
      </c>
      <c r="H37" s="1">
        <v>0.71799999999999997</v>
      </c>
      <c r="I37" s="1">
        <v>0.89</v>
      </c>
      <c r="J37" s="1">
        <v>0.70499999999999996</v>
      </c>
      <c r="K37" s="1">
        <v>0.96599999999999997</v>
      </c>
      <c r="L37" s="1">
        <v>0.73299999999999998</v>
      </c>
      <c r="M37" s="1">
        <v>0.85899999999999999</v>
      </c>
      <c r="N37" s="1">
        <v>0.69599999999999995</v>
      </c>
      <c r="O37" s="1">
        <v>1.046</v>
      </c>
      <c r="P37" s="1">
        <v>0.748</v>
      </c>
    </row>
    <row r="38" spans="1:16">
      <c r="A38" s="6"/>
      <c r="B38" s="2" t="s">
        <v>15</v>
      </c>
      <c r="C38" s="1">
        <f>AVERAGE(C34:C37)</f>
        <v>0.37124999999999997</v>
      </c>
      <c r="D38" s="1">
        <f>AVERAGE(D34:D37)</f>
        <v>0.41049999999999998</v>
      </c>
      <c r="E38" s="4">
        <f>AVERAGE(E34:E37)</f>
        <v>0.35475000000000001</v>
      </c>
      <c r="F38" s="1">
        <f t="shared" ref="F38:N38" si="15">AVERAGE(F34:F37)</f>
        <v>0.41675000000000006</v>
      </c>
      <c r="G38" s="1">
        <f t="shared" si="15"/>
        <v>0.41525000000000001</v>
      </c>
      <c r="H38" s="1">
        <f t="shared" si="15"/>
        <v>0.4415</v>
      </c>
      <c r="I38" s="1">
        <f t="shared" si="15"/>
        <v>0.3755</v>
      </c>
      <c r="J38" s="5">
        <f t="shared" si="15"/>
        <v>0.40900000000000003</v>
      </c>
      <c r="K38" s="1">
        <f t="shared" si="15"/>
        <v>0.40675</v>
      </c>
      <c r="L38" s="1">
        <f t="shared" si="15"/>
        <v>0.42649999999999999</v>
      </c>
      <c r="M38" s="5">
        <f t="shared" si="15"/>
        <v>0.36399999999999999</v>
      </c>
      <c r="N38" s="4">
        <f t="shared" si="15"/>
        <v>0.40349999999999997</v>
      </c>
      <c r="O38" s="8">
        <f t="shared" ref="O38:P38" si="16">AVERAGE(O34:O37)</f>
        <v>0.44225000000000003</v>
      </c>
      <c r="P38" s="8">
        <f t="shared" si="16"/>
        <v>0.43975000000000003</v>
      </c>
    </row>
    <row r="39" spans="1:16">
      <c r="A39" s="6" t="s">
        <v>19</v>
      </c>
      <c r="B39" s="2">
        <v>96</v>
      </c>
      <c r="C39" s="1">
        <v>0.156</v>
      </c>
      <c r="D39" s="1">
        <v>0.20200000000000001</v>
      </c>
      <c r="E39" s="1">
        <v>0.19500000000000001</v>
      </c>
      <c r="F39" s="1">
        <v>0.255</v>
      </c>
      <c r="G39" s="1">
        <v>0.17499999999999999</v>
      </c>
      <c r="H39" s="1">
        <v>0.214</v>
      </c>
      <c r="I39" s="1">
        <v>0.17299999999999999</v>
      </c>
      <c r="J39" s="1">
        <v>0.214</v>
      </c>
      <c r="K39" s="1">
        <v>0.158</v>
      </c>
      <c r="L39" s="1">
        <v>0.20399999999999999</v>
      </c>
      <c r="M39" s="1">
        <v>0.17499999999999999</v>
      </c>
      <c r="N39" s="1">
        <v>0.217</v>
      </c>
      <c r="O39" s="1">
        <v>0.16300000000000001</v>
      </c>
      <c r="P39" s="1">
        <v>0.21</v>
      </c>
    </row>
    <row r="40" spans="1:16">
      <c r="A40" s="6"/>
      <c r="B40" s="2">
        <v>192</v>
      </c>
      <c r="C40" s="1">
        <v>0.20899999999999999</v>
      </c>
      <c r="D40" s="1">
        <v>0.251</v>
      </c>
      <c r="E40" s="1">
        <v>0.23599999999999999</v>
      </c>
      <c r="F40" s="1">
        <v>0.29299999999999998</v>
      </c>
      <c r="G40" s="1">
        <v>0.224</v>
      </c>
      <c r="H40" s="1">
        <v>0.25800000000000001</v>
      </c>
      <c r="I40" s="1">
        <v>0.22</v>
      </c>
      <c r="J40" s="1">
        <v>0.25600000000000001</v>
      </c>
      <c r="K40" s="1">
        <v>0.20699999999999999</v>
      </c>
      <c r="L40" s="1">
        <v>0.25</v>
      </c>
      <c r="M40" s="1">
        <v>0.222</v>
      </c>
      <c r="N40" s="1">
        <v>0.25600000000000001</v>
      </c>
      <c r="O40" s="1">
        <v>0.20799999999999999</v>
      </c>
      <c r="P40" s="1">
        <v>0.251</v>
      </c>
    </row>
    <row r="41" spans="1:16">
      <c r="A41" s="6"/>
      <c r="B41" s="2">
        <v>336</v>
      </c>
      <c r="C41" s="1">
        <v>0.26600000000000001</v>
      </c>
      <c r="D41" s="1">
        <v>0.29199999999999998</v>
      </c>
      <c r="E41" s="1">
        <v>0.28100000000000003</v>
      </c>
      <c r="F41" s="1">
        <v>0.33100000000000002</v>
      </c>
      <c r="G41" s="1">
        <v>0.28299999999999997</v>
      </c>
      <c r="H41" s="1">
        <v>0.30099999999999999</v>
      </c>
      <c r="I41" s="1">
        <v>0.27700000000000002</v>
      </c>
      <c r="J41" s="1">
        <v>0.29699999999999999</v>
      </c>
      <c r="K41" s="1">
        <v>0.26500000000000001</v>
      </c>
      <c r="L41" s="1">
        <v>0.29199999999999998</v>
      </c>
      <c r="M41" s="1">
        <v>0.27900000000000003</v>
      </c>
      <c r="N41" s="1">
        <v>0.29699999999999999</v>
      </c>
      <c r="O41" s="1">
        <v>0.26700000000000002</v>
      </c>
      <c r="P41" s="1">
        <v>0.29399999999999998</v>
      </c>
    </row>
    <row r="42" spans="1:16">
      <c r="A42" s="6"/>
      <c r="B42" s="2">
        <v>720</v>
      </c>
      <c r="C42" s="1">
        <v>0.34699999999999998</v>
      </c>
      <c r="D42" s="1">
        <v>0.34499999999999997</v>
      </c>
      <c r="E42" s="1">
        <v>0.34499999999999997</v>
      </c>
      <c r="F42" s="1">
        <v>0.38100000000000001</v>
      </c>
      <c r="G42" s="1">
        <v>0.35899999999999999</v>
      </c>
      <c r="H42" s="1">
        <v>0.35099999999999998</v>
      </c>
      <c r="I42" s="1">
        <v>0.35299999999999998</v>
      </c>
      <c r="J42" s="1">
        <v>0.34599999999999997</v>
      </c>
      <c r="K42" s="1">
        <v>0.34799999999999998</v>
      </c>
      <c r="L42" s="1">
        <v>0.34699999999999998</v>
      </c>
      <c r="M42" s="1">
        <v>0.35199999999999998</v>
      </c>
      <c r="N42" s="1">
        <v>0.34599999999999997</v>
      </c>
      <c r="O42" s="1">
        <v>0.34799999999999998</v>
      </c>
      <c r="P42" s="1">
        <v>0.34799999999999998</v>
      </c>
    </row>
    <row r="43" spans="1:16">
      <c r="A43" s="6"/>
      <c r="B43" s="2" t="s">
        <v>15</v>
      </c>
      <c r="C43" s="4">
        <f>AVERAGE(C39:C42)</f>
        <v>0.2445</v>
      </c>
      <c r="D43" s="4">
        <f>AVERAGE(D39:D42)</f>
        <v>0.27249999999999996</v>
      </c>
      <c r="E43" s="1">
        <f>AVERAGE(E39:E42)</f>
        <v>0.26424999999999998</v>
      </c>
      <c r="F43" s="1">
        <f t="shared" ref="F43:N43" si="17">AVERAGE(F39:F42)</f>
        <v>0.315</v>
      </c>
      <c r="G43" s="1">
        <f t="shared" si="17"/>
        <v>0.26024999999999998</v>
      </c>
      <c r="H43" s="1">
        <f t="shared" si="17"/>
        <v>0.28099999999999997</v>
      </c>
      <c r="I43" s="1">
        <f t="shared" si="17"/>
        <v>0.25575000000000003</v>
      </c>
      <c r="J43" s="1">
        <f t="shared" si="17"/>
        <v>0.27825</v>
      </c>
      <c r="K43" s="5">
        <f t="shared" si="17"/>
        <v>0.2445</v>
      </c>
      <c r="L43" s="5">
        <f t="shared" si="17"/>
        <v>0.27324999999999999</v>
      </c>
      <c r="M43" s="1">
        <f t="shared" si="17"/>
        <v>0.25700000000000001</v>
      </c>
      <c r="N43" s="1">
        <f t="shared" si="17"/>
        <v>0.27900000000000003</v>
      </c>
      <c r="O43" s="1">
        <f t="shared" ref="O43:P43" si="18">AVERAGE(O39:O42)</f>
        <v>0.2465</v>
      </c>
      <c r="P43" s="1">
        <f t="shared" si="18"/>
        <v>0.27574999999999994</v>
      </c>
    </row>
    <row r="44" spans="1:16">
      <c r="C44" s="4">
        <f>AVERAGE(C23,C28,C33,C38,C43)</f>
        <v>0.33286249999999995</v>
      </c>
      <c r="D44" s="4">
        <f>AVERAGE(D23,D28,D33,D38,D43)</f>
        <v>0.33533749999999996</v>
      </c>
      <c r="E44" s="1">
        <f t="shared" ref="E44:N44" si="19">AVERAGE(E23,E28,E33,E38,E43)</f>
        <v>0.39276250000000001</v>
      </c>
      <c r="F44" s="1">
        <f t="shared" si="19"/>
        <v>0.38321249999999996</v>
      </c>
      <c r="G44" s="5">
        <f t="shared" si="19"/>
        <v>0.34855000000000003</v>
      </c>
      <c r="H44" s="1">
        <f t="shared" si="19"/>
        <v>0.34593750000000001</v>
      </c>
      <c r="I44" s="1">
        <f t="shared" si="19"/>
        <v>0.35122500000000001</v>
      </c>
      <c r="J44" s="1">
        <f t="shared" si="19"/>
        <v>0.34652500000000003</v>
      </c>
      <c r="K44" s="1">
        <f t="shared" si="19"/>
        <v>0.35219999999999996</v>
      </c>
      <c r="L44" s="1">
        <f t="shared" si="19"/>
        <v>0.34736250000000002</v>
      </c>
      <c r="M44" s="1">
        <f t="shared" si="19"/>
        <v>0.35289999999999999</v>
      </c>
      <c r="N44" s="5">
        <f t="shared" si="19"/>
        <v>0.34619999999999995</v>
      </c>
      <c r="O44" s="1">
        <f t="shared" ref="O44:P44" si="20">AVERAGE(O23,O28,O33,O38,O43)</f>
        <v>0.3540875</v>
      </c>
      <c r="P44" s="5">
        <f t="shared" si="20"/>
        <v>0.3394375</v>
      </c>
    </row>
  </sheetData>
  <mergeCells count="18">
    <mergeCell ref="I1:J1"/>
    <mergeCell ref="K1:L1"/>
    <mergeCell ref="M1:N1"/>
    <mergeCell ref="O1:P1"/>
    <mergeCell ref="A39:A43"/>
    <mergeCell ref="E1:F1"/>
    <mergeCell ref="A13:A17"/>
    <mergeCell ref="A18:A22"/>
    <mergeCell ref="G1:H1"/>
    <mergeCell ref="A3:A7"/>
    <mergeCell ref="A8:A12"/>
    <mergeCell ref="C1:D1"/>
    <mergeCell ref="A1:B1"/>
    <mergeCell ref="A2:B2"/>
    <mergeCell ref="A24:A28"/>
    <mergeCell ref="A23:B23"/>
    <mergeCell ref="A29:A33"/>
    <mergeCell ref="A34:A38"/>
  </mergeCells>
  <phoneticPr fontId="1" type="noConversion"/>
  <pageMargins left="0.7" right="0.7" top="0.75" bottom="0.75" header="0.3" footer="0.3"/>
  <ignoredErrors>
    <ignoredError sqref="E28:L2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一鸣 周</dc:creator>
  <cp:lastModifiedBy>一鸣 周</cp:lastModifiedBy>
  <dcterms:created xsi:type="dcterms:W3CDTF">2025-09-28T11:17:27Z</dcterms:created>
  <dcterms:modified xsi:type="dcterms:W3CDTF">2026-05-18T14:13:58Z</dcterms:modified>
</cp:coreProperties>
</file>