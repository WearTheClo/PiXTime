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uyiming/Desktop/PiXTime/V2实验/"/>
    </mc:Choice>
  </mc:AlternateContent>
  <xr:revisionPtr revIDLastSave="0" documentId="13_ncr:1_{B08642C4-E719-614E-9193-8B68BC942C14}" xr6:coauthVersionLast="47" xr6:coauthVersionMax="47" xr10:uidLastSave="{00000000-0000-0000-0000-000000000000}"/>
  <bookViews>
    <workbookView xWindow="0" yWindow="760" windowWidth="29400" windowHeight="16840" xr2:uid="{C0B8DD53-6371-094D-8815-3248689DA3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1" l="1"/>
  <c r="M28" i="1"/>
  <c r="N28" i="1"/>
  <c r="M33" i="1"/>
  <c r="N33" i="1"/>
  <c r="K43" i="1"/>
  <c r="L43" i="1"/>
  <c r="M43" i="1"/>
  <c r="N43" i="1"/>
  <c r="M38" i="1"/>
  <c r="N38" i="1"/>
  <c r="E44" i="1"/>
  <c r="C23" i="1"/>
  <c r="D23" i="1"/>
  <c r="E23" i="1"/>
  <c r="D43" i="1"/>
  <c r="C43" i="1"/>
  <c r="D38" i="1"/>
  <c r="C38" i="1"/>
  <c r="D33" i="1"/>
  <c r="C33" i="1"/>
  <c r="D28" i="1"/>
  <c r="C28" i="1"/>
  <c r="D22" i="1"/>
  <c r="C22" i="1"/>
  <c r="D17" i="1"/>
  <c r="C17" i="1"/>
  <c r="D12" i="1"/>
  <c r="C12" i="1"/>
  <c r="D7" i="1"/>
  <c r="C7" i="1"/>
  <c r="D44" i="1" l="1"/>
  <c r="C44" i="1"/>
  <c r="N44" i="1"/>
  <c r="F44" i="1"/>
  <c r="I44" i="1"/>
  <c r="J44" i="1"/>
  <c r="K44" i="1"/>
  <c r="L44" i="1"/>
  <c r="F23" i="1" l="1"/>
  <c r="G23" i="1"/>
  <c r="H23" i="1"/>
  <c r="I23" i="1"/>
  <c r="J23" i="1"/>
  <c r="K23" i="1"/>
  <c r="L23" i="1"/>
  <c r="M23" i="1"/>
  <c r="N23" i="1"/>
  <c r="J43" i="1" l="1"/>
  <c r="I43" i="1"/>
  <c r="H43" i="1"/>
  <c r="G43" i="1"/>
  <c r="F43" i="1"/>
  <c r="E43" i="1"/>
  <c r="L38" i="1"/>
  <c r="K38" i="1"/>
  <c r="J38" i="1"/>
  <c r="I38" i="1"/>
  <c r="H38" i="1"/>
  <c r="G38" i="1"/>
  <c r="F38" i="1"/>
  <c r="E38" i="1"/>
  <c r="L33" i="1"/>
  <c r="K33" i="1"/>
  <c r="J33" i="1"/>
  <c r="I33" i="1"/>
  <c r="H33" i="1"/>
  <c r="G33" i="1"/>
  <c r="F33" i="1"/>
  <c r="E33" i="1"/>
  <c r="L28" i="1"/>
  <c r="K28" i="1"/>
  <c r="J28" i="1"/>
  <c r="I28" i="1"/>
  <c r="H28" i="1"/>
  <c r="H44" i="1" s="1"/>
  <c r="G28" i="1"/>
  <c r="G44" i="1" s="1"/>
  <c r="F28" i="1"/>
  <c r="E28" i="1"/>
  <c r="N22" i="1"/>
  <c r="M22" i="1"/>
  <c r="L22" i="1"/>
  <c r="K22" i="1"/>
  <c r="J22" i="1"/>
  <c r="I22" i="1"/>
  <c r="H22" i="1"/>
  <c r="G22" i="1"/>
  <c r="F22" i="1"/>
  <c r="E22" i="1"/>
  <c r="N17" i="1"/>
  <c r="M17" i="1"/>
  <c r="L17" i="1"/>
  <c r="K17" i="1"/>
  <c r="J17" i="1"/>
  <c r="I17" i="1"/>
  <c r="H17" i="1"/>
  <c r="G17" i="1"/>
  <c r="F17" i="1"/>
  <c r="E17" i="1"/>
  <c r="N12" i="1"/>
  <c r="M12" i="1"/>
  <c r="L12" i="1"/>
  <c r="K12" i="1"/>
  <c r="J12" i="1"/>
  <c r="I12" i="1"/>
  <c r="H12" i="1"/>
  <c r="G12" i="1"/>
  <c r="F12" i="1"/>
  <c r="E12" i="1"/>
  <c r="N7" i="1"/>
  <c r="M7" i="1"/>
  <c r="L7" i="1"/>
  <c r="K7" i="1"/>
  <c r="J7" i="1"/>
  <c r="I7" i="1"/>
  <c r="H7" i="1"/>
  <c r="G7" i="1"/>
  <c r="F7" i="1"/>
  <c r="E7" i="1"/>
</calcChain>
</file>

<file path=xl/sharedStrings.xml><?xml version="1.0" encoding="utf-8"?>
<sst xmlns="http://schemas.openxmlformats.org/spreadsheetml/2006/main" count="38" uniqueCount="22">
  <si>
    <t>Model</t>
    <phoneticPr fontId="1" type="noConversion"/>
  </si>
  <si>
    <t>PiXTime</t>
    <phoneticPr fontId="1" type="noConversion"/>
  </si>
  <si>
    <t>DLinear</t>
    <phoneticPr fontId="1" type="noConversion"/>
  </si>
  <si>
    <t>iTransformer</t>
    <phoneticPr fontId="1" type="noConversion"/>
  </si>
  <si>
    <t>PatchTST</t>
    <phoneticPr fontId="1" type="noConversion"/>
  </si>
  <si>
    <t>TimeXer</t>
    <phoneticPr fontId="1" type="noConversion"/>
  </si>
  <si>
    <t>FFTS</t>
    <phoneticPr fontId="1" type="noConversion"/>
  </si>
  <si>
    <t>Metric</t>
    <phoneticPr fontId="1" type="noConversion"/>
  </si>
  <si>
    <t>MSE</t>
    <phoneticPr fontId="1" type="noConversion"/>
  </si>
  <si>
    <t>MAE</t>
    <phoneticPr fontId="1" type="noConversion"/>
  </si>
  <si>
    <t>MSE</t>
  </si>
  <si>
    <t>MAE</t>
  </si>
  <si>
    <t>ETT-h1</t>
    <phoneticPr fontId="1" type="noConversion"/>
  </si>
  <si>
    <t>Average</t>
    <phoneticPr fontId="1" type="noConversion"/>
  </si>
  <si>
    <t>ETT-h2</t>
    <phoneticPr fontId="1" type="noConversion"/>
  </si>
  <si>
    <t>ETT-m1</t>
    <phoneticPr fontId="1" type="noConversion"/>
  </si>
  <si>
    <t>ETT-m2</t>
    <phoneticPr fontId="1" type="noConversion"/>
  </si>
  <si>
    <t>Electricity</t>
    <phoneticPr fontId="1" type="noConversion"/>
  </si>
  <si>
    <t>Traffic</t>
    <phoneticPr fontId="1" type="noConversion"/>
  </si>
  <si>
    <t>Exchange</t>
    <phoneticPr fontId="1" type="noConversion"/>
  </si>
  <si>
    <t>Weather</t>
    <phoneticPr fontId="1" type="noConversion"/>
  </si>
  <si>
    <t>AVEAVE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</si>
</sst>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rgb="FFFF0000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7FFB-9BF2-5047-8E35-E9028A280B2D}">
  <dimension ref="A1:O44"/>
  <sheetViews>
    <sheetView tabSelected="1" topLeftCell="A26" zoomScale="135" workbookViewId="0">
      <selection activeCell="L43" sqref="L43"/>
    </sheetView>
  </sheetViews>
  <sheetFormatPr baseColWidth="10" defaultRowHeight="16"/>
  <cols>
    <col min="1" max="1" width="10.83203125" style="1"/>
    <col min="2" max="2" width="10.83203125" style="3"/>
    <col min="3" max="16384" width="10.83203125" style="1"/>
  </cols>
  <sheetData>
    <row r="1" spans="1:14">
      <c r="A1" s="7" t="s">
        <v>0</v>
      </c>
      <c r="B1" s="7"/>
      <c r="C1" s="7" t="s">
        <v>1</v>
      </c>
      <c r="D1" s="7"/>
      <c r="E1" s="7" t="s">
        <v>2</v>
      </c>
      <c r="F1" s="7"/>
      <c r="G1" s="7" t="s">
        <v>3</v>
      </c>
      <c r="H1" s="7"/>
      <c r="I1" s="7" t="s">
        <v>4</v>
      </c>
      <c r="J1" s="7"/>
      <c r="K1" s="8" t="s">
        <v>5</v>
      </c>
      <c r="L1" s="8"/>
      <c r="M1" s="7" t="s">
        <v>6</v>
      </c>
      <c r="N1" s="7"/>
    </row>
    <row r="2" spans="1:14">
      <c r="A2" s="7" t="s">
        <v>7</v>
      </c>
      <c r="B2" s="7"/>
      <c r="C2" s="1" t="s">
        <v>8</v>
      </c>
      <c r="D2" s="1" t="s">
        <v>9</v>
      </c>
      <c r="E2" s="1" t="s">
        <v>8</v>
      </c>
      <c r="F2" s="1" t="s">
        <v>9</v>
      </c>
      <c r="G2" s="1" t="s">
        <v>8</v>
      </c>
      <c r="H2" s="1" t="s">
        <v>9</v>
      </c>
      <c r="I2" s="1" t="s">
        <v>8</v>
      </c>
      <c r="J2" s="1" t="s">
        <v>9</v>
      </c>
      <c r="K2" s="2" t="s">
        <v>10</v>
      </c>
      <c r="L2" s="2" t="s">
        <v>11</v>
      </c>
      <c r="M2" s="1" t="s">
        <v>8</v>
      </c>
      <c r="N2" s="1" t="s">
        <v>9</v>
      </c>
    </row>
    <row r="3" spans="1:14">
      <c r="A3" s="7" t="s">
        <v>12</v>
      </c>
      <c r="B3" s="3">
        <v>96</v>
      </c>
      <c r="C3" s="1">
        <v>0.374</v>
      </c>
      <c r="D3" s="1">
        <v>0.39700000000000002</v>
      </c>
      <c r="E3" s="1">
        <v>0.38500000000000001</v>
      </c>
      <c r="F3" s="1">
        <v>0.39900000000000002</v>
      </c>
      <c r="G3" s="1">
        <v>0.38700000000000001</v>
      </c>
      <c r="H3" s="1">
        <v>0.40600000000000003</v>
      </c>
      <c r="I3" s="1">
        <v>0.38200000000000001</v>
      </c>
      <c r="J3" s="1">
        <v>0.40400000000000003</v>
      </c>
      <c r="K3" s="1">
        <v>0.38800000000000001</v>
      </c>
      <c r="L3" s="1">
        <v>0.40600000000000003</v>
      </c>
      <c r="M3" s="1">
        <v>0.38500000000000001</v>
      </c>
      <c r="N3" s="1">
        <v>0.40500000000000003</v>
      </c>
    </row>
    <row r="4" spans="1:14">
      <c r="A4" s="7"/>
      <c r="B4" s="3">
        <v>192</v>
      </c>
      <c r="C4" s="1">
        <v>0.42199999999999999</v>
      </c>
      <c r="D4" s="1">
        <v>0.42399999999999999</v>
      </c>
      <c r="E4" s="1">
        <v>0.435</v>
      </c>
      <c r="F4" s="1">
        <v>0.42899999999999999</v>
      </c>
      <c r="G4" s="1">
        <v>0.44500000000000001</v>
      </c>
      <c r="H4" s="1">
        <v>0.44</v>
      </c>
      <c r="I4" s="1">
        <v>0.439</v>
      </c>
      <c r="J4" s="1">
        <v>0.442</v>
      </c>
      <c r="K4" s="1">
        <v>0.44</v>
      </c>
      <c r="L4" s="1">
        <v>0.442</v>
      </c>
      <c r="M4" s="1">
        <v>0.442</v>
      </c>
      <c r="N4" s="1">
        <v>0.44</v>
      </c>
    </row>
    <row r="5" spans="1:14">
      <c r="A5" s="7"/>
      <c r="B5" s="3">
        <v>336</v>
      </c>
      <c r="C5" s="1">
        <v>0.46</v>
      </c>
      <c r="D5" s="1">
        <v>0.44600000000000001</v>
      </c>
      <c r="E5" s="1">
        <v>0.47899999999999998</v>
      </c>
      <c r="F5" s="1">
        <v>0.45600000000000002</v>
      </c>
      <c r="G5" s="1">
        <v>0.49</v>
      </c>
      <c r="H5" s="1">
        <v>0.46500000000000002</v>
      </c>
      <c r="I5" s="1">
        <v>0.48399999999999999</v>
      </c>
      <c r="J5" s="1">
        <v>0.46600000000000003</v>
      </c>
      <c r="K5" s="1">
        <v>0.48199999999999998</v>
      </c>
      <c r="L5" s="1">
        <v>0.46500000000000002</v>
      </c>
      <c r="M5" s="1">
        <v>0.49</v>
      </c>
      <c r="N5" s="1">
        <v>0.46300000000000002</v>
      </c>
    </row>
    <row r="6" spans="1:14">
      <c r="A6" s="7"/>
      <c r="B6" s="3">
        <v>720</v>
      </c>
      <c r="C6" s="1">
        <v>0.47599999999999998</v>
      </c>
      <c r="D6" s="1">
        <v>0.46800000000000003</v>
      </c>
      <c r="E6" s="1">
        <v>0.502</v>
      </c>
      <c r="F6" s="1">
        <v>0.5</v>
      </c>
      <c r="G6" s="1">
        <v>0.504</v>
      </c>
      <c r="H6" s="1">
        <v>0.49299999999999999</v>
      </c>
      <c r="I6" s="1">
        <v>0.51900000000000002</v>
      </c>
      <c r="J6" s="1">
        <v>0.501</v>
      </c>
      <c r="K6" s="1">
        <v>0.51100000000000001</v>
      </c>
      <c r="L6" s="1">
        <v>0.498</v>
      </c>
      <c r="M6" s="1">
        <v>0.53200000000000003</v>
      </c>
      <c r="N6" s="1">
        <v>0.499</v>
      </c>
    </row>
    <row r="7" spans="1:14">
      <c r="A7" s="7"/>
      <c r="B7" s="3" t="s">
        <v>13</v>
      </c>
      <c r="C7" s="1">
        <f t="shared" ref="C7:D7" si="0">AVERAGE(C3:C6)</f>
        <v>0.433</v>
      </c>
      <c r="D7" s="1">
        <f t="shared" si="0"/>
        <v>0.43374999999999997</v>
      </c>
      <c r="E7" s="1">
        <f t="shared" ref="E7:N7" si="1">AVERAGE(E3:E6)</f>
        <v>0.45024999999999998</v>
      </c>
      <c r="F7" s="1">
        <f t="shared" si="1"/>
        <v>0.44600000000000001</v>
      </c>
      <c r="G7" s="1">
        <f t="shared" si="1"/>
        <v>0.45650000000000002</v>
      </c>
      <c r="H7" s="1">
        <f t="shared" si="1"/>
        <v>0.45100000000000007</v>
      </c>
      <c r="I7" s="1">
        <f t="shared" si="1"/>
        <v>0.45599999999999996</v>
      </c>
      <c r="J7" s="1">
        <f t="shared" si="1"/>
        <v>0.45325000000000004</v>
      </c>
      <c r="K7" s="1">
        <f t="shared" si="1"/>
        <v>0.45525000000000004</v>
      </c>
      <c r="L7" s="1">
        <f t="shared" si="1"/>
        <v>0.45275000000000004</v>
      </c>
      <c r="M7" s="1">
        <f t="shared" si="1"/>
        <v>0.46224999999999999</v>
      </c>
      <c r="N7" s="1">
        <f t="shared" si="1"/>
        <v>0.45174999999999998</v>
      </c>
    </row>
    <row r="8" spans="1:14">
      <c r="A8" s="7" t="s">
        <v>14</v>
      </c>
      <c r="B8" s="3">
        <v>96</v>
      </c>
      <c r="C8" s="1">
        <v>0.28499999999999998</v>
      </c>
      <c r="D8" s="1">
        <v>0.33700000000000002</v>
      </c>
      <c r="E8" s="1">
        <v>0.33700000000000002</v>
      </c>
      <c r="F8" s="1">
        <v>0.39100000000000001</v>
      </c>
      <c r="G8" s="1">
        <v>0.308</v>
      </c>
      <c r="H8" s="1">
        <v>0.35499999999999998</v>
      </c>
      <c r="I8" s="1">
        <v>0.30499999999999999</v>
      </c>
      <c r="J8" s="1">
        <v>0.35099999999999998</v>
      </c>
      <c r="K8" s="1">
        <v>0.28699999999999998</v>
      </c>
      <c r="L8" s="1">
        <v>0.33900000000000002</v>
      </c>
      <c r="M8" s="1">
        <v>0.29899999999999999</v>
      </c>
      <c r="N8" s="1">
        <v>0.34399999999999997</v>
      </c>
    </row>
    <row r="9" spans="1:14">
      <c r="A9" s="7"/>
      <c r="B9" s="3">
        <v>192</v>
      </c>
      <c r="C9" s="1">
        <v>0.36399999999999999</v>
      </c>
      <c r="D9" s="1">
        <v>0.38800000000000001</v>
      </c>
      <c r="E9" s="1">
        <v>0.47399999999999998</v>
      </c>
      <c r="F9" s="1">
        <v>0.47399999999999998</v>
      </c>
      <c r="G9" s="1">
        <v>0.38500000000000001</v>
      </c>
      <c r="H9" s="1">
        <v>0.40200000000000002</v>
      </c>
      <c r="I9" s="1">
        <v>0.38400000000000001</v>
      </c>
      <c r="J9" s="1">
        <v>0.40400000000000003</v>
      </c>
      <c r="K9" s="1">
        <v>0.37</v>
      </c>
      <c r="L9" s="1">
        <v>0.39200000000000002</v>
      </c>
      <c r="M9" s="1">
        <v>0.378</v>
      </c>
      <c r="N9" s="1">
        <v>0.39700000000000002</v>
      </c>
    </row>
    <row r="10" spans="1:14">
      <c r="A10" s="7"/>
      <c r="B10" s="3">
        <v>336</v>
      </c>
      <c r="C10" s="1">
        <v>0.41299999999999998</v>
      </c>
      <c r="D10" s="1">
        <v>0.42799999999999999</v>
      </c>
      <c r="E10" s="1">
        <v>0.58599999999999997</v>
      </c>
      <c r="F10" s="1">
        <v>0.53600000000000003</v>
      </c>
      <c r="G10" s="1">
        <v>0.44800000000000001</v>
      </c>
      <c r="H10" s="1">
        <v>0.443</v>
      </c>
      <c r="I10" s="1">
        <v>0.439</v>
      </c>
      <c r="J10" s="1">
        <v>0.441</v>
      </c>
      <c r="K10" s="1">
        <v>0.443</v>
      </c>
      <c r="L10" s="1">
        <v>0.438</v>
      </c>
      <c r="M10" s="1">
        <v>0.42799999999999999</v>
      </c>
      <c r="N10" s="1">
        <v>0.435</v>
      </c>
    </row>
    <row r="11" spans="1:14">
      <c r="A11" s="7"/>
      <c r="B11" s="3">
        <v>720</v>
      </c>
      <c r="C11" s="1">
        <v>0.45100000000000001</v>
      </c>
      <c r="D11" s="1">
        <v>0.45700000000000002</v>
      </c>
      <c r="E11" s="1">
        <v>0.81399999999999995</v>
      </c>
      <c r="F11" s="1">
        <v>0.65</v>
      </c>
      <c r="G11" s="1">
        <v>0.443</v>
      </c>
      <c r="H11" s="1">
        <v>0.45200000000000001</v>
      </c>
      <c r="I11" s="1">
        <v>0.46</v>
      </c>
      <c r="J11" s="1">
        <v>0.46500000000000002</v>
      </c>
      <c r="K11" s="1">
        <v>0.436</v>
      </c>
      <c r="L11" s="1">
        <v>0.44800000000000001</v>
      </c>
      <c r="M11" s="1">
        <v>0.435</v>
      </c>
      <c r="N11" s="1">
        <v>0.44900000000000001</v>
      </c>
    </row>
    <row r="12" spans="1:14">
      <c r="A12" s="7"/>
      <c r="B12" s="3" t="s">
        <v>13</v>
      </c>
      <c r="C12" s="1">
        <f t="shared" ref="C12:D12" si="2">AVERAGE(C8:C11)</f>
        <v>0.37825000000000003</v>
      </c>
      <c r="D12" s="1">
        <f t="shared" si="2"/>
        <v>0.40250000000000002</v>
      </c>
      <c r="E12" s="1">
        <f t="shared" ref="E12:N12" si="3">AVERAGE(E8:E11)</f>
        <v>0.55274999999999996</v>
      </c>
      <c r="F12" s="1">
        <f t="shared" si="3"/>
        <v>0.51275000000000004</v>
      </c>
      <c r="G12" s="1">
        <f t="shared" si="3"/>
        <v>0.39600000000000002</v>
      </c>
      <c r="H12" s="1">
        <f t="shared" si="3"/>
        <v>0.41299999999999998</v>
      </c>
      <c r="I12" s="1">
        <f t="shared" si="3"/>
        <v>0.39700000000000002</v>
      </c>
      <c r="J12" s="1">
        <f t="shared" si="3"/>
        <v>0.41525000000000001</v>
      </c>
      <c r="K12" s="1">
        <f t="shared" si="3"/>
        <v>0.38400000000000001</v>
      </c>
      <c r="L12" s="1">
        <f t="shared" si="3"/>
        <v>0.40425</v>
      </c>
      <c r="M12" s="1">
        <f t="shared" si="3"/>
        <v>0.38500000000000001</v>
      </c>
      <c r="N12" s="1">
        <f t="shared" si="3"/>
        <v>0.40625</v>
      </c>
    </row>
    <row r="13" spans="1:14">
      <c r="A13" s="7" t="s">
        <v>15</v>
      </c>
      <c r="B13" s="3">
        <v>96</v>
      </c>
      <c r="C13" s="1">
        <v>0.32300000000000001</v>
      </c>
      <c r="D13" s="1">
        <v>0.36099999999999999</v>
      </c>
      <c r="E13" s="1">
        <v>0.34399999999999997</v>
      </c>
      <c r="F13" s="1">
        <v>0.371</v>
      </c>
      <c r="G13" s="1">
        <v>0.33900000000000002</v>
      </c>
      <c r="H13" s="1">
        <v>0.374</v>
      </c>
      <c r="I13" s="1">
        <v>0.32</v>
      </c>
      <c r="J13" s="1">
        <v>0.36299999999999999</v>
      </c>
      <c r="K13" s="1">
        <v>0.32300000000000001</v>
      </c>
      <c r="L13" s="1">
        <v>0.35899999999999999</v>
      </c>
      <c r="M13" s="1">
        <v>0.33400000000000002</v>
      </c>
      <c r="N13" s="1">
        <v>0.36799999999999999</v>
      </c>
    </row>
    <row r="14" spans="1:14">
      <c r="A14" s="7"/>
      <c r="B14" s="3">
        <v>192</v>
      </c>
      <c r="C14" s="1">
        <v>0.35799999999999998</v>
      </c>
      <c r="D14" s="1">
        <v>0.38200000000000001</v>
      </c>
      <c r="E14" s="1">
        <v>0.38</v>
      </c>
      <c r="F14" s="1">
        <v>0.38900000000000001</v>
      </c>
      <c r="G14" s="1">
        <v>0.38200000000000001</v>
      </c>
      <c r="H14" s="1">
        <v>0.39700000000000002</v>
      </c>
      <c r="I14" s="1">
        <v>0.38200000000000001</v>
      </c>
      <c r="J14" s="1">
        <v>0.39600000000000002</v>
      </c>
      <c r="K14" s="1">
        <v>0.36699999999999999</v>
      </c>
      <c r="L14" s="1">
        <v>0.38500000000000001</v>
      </c>
      <c r="M14" s="1">
        <v>0.374</v>
      </c>
      <c r="N14" s="1">
        <v>0.39100000000000001</v>
      </c>
    </row>
    <row r="15" spans="1:14">
      <c r="A15" s="7"/>
      <c r="B15" s="3">
        <v>336</v>
      </c>
      <c r="C15" s="1">
        <v>0.39100000000000001</v>
      </c>
      <c r="D15" s="1">
        <v>0.40300000000000002</v>
      </c>
      <c r="E15" s="1">
        <v>0.41199999999999998</v>
      </c>
      <c r="F15" s="1">
        <v>0.41199999999999998</v>
      </c>
      <c r="G15" s="1">
        <v>0.42199999999999999</v>
      </c>
      <c r="H15" s="1">
        <v>0.42</v>
      </c>
      <c r="I15" s="1">
        <v>0.40100000000000002</v>
      </c>
      <c r="J15" s="1">
        <v>0.41199999999999998</v>
      </c>
      <c r="K15" s="1">
        <v>0.39900000000000002</v>
      </c>
      <c r="L15" s="1">
        <v>0.40899999999999997</v>
      </c>
      <c r="M15" s="1">
        <v>0.40799999999999997</v>
      </c>
      <c r="N15" s="1">
        <v>0.41499999999999998</v>
      </c>
    </row>
    <row r="16" spans="1:14">
      <c r="A16" s="7"/>
      <c r="B16" s="3">
        <v>720</v>
      </c>
      <c r="C16" s="1">
        <v>0.44800000000000001</v>
      </c>
      <c r="D16" s="1">
        <v>0.436</v>
      </c>
      <c r="E16" s="1">
        <v>0.47099999999999997</v>
      </c>
      <c r="F16" s="1">
        <v>0.44800000000000001</v>
      </c>
      <c r="G16" s="1">
        <v>0.48699999999999999</v>
      </c>
      <c r="H16" s="1">
        <v>0.45800000000000002</v>
      </c>
      <c r="I16" s="1">
        <v>0.48499999999999999</v>
      </c>
      <c r="J16" s="1">
        <v>0.46700000000000003</v>
      </c>
      <c r="K16" s="1">
        <v>0.45900000000000002</v>
      </c>
      <c r="L16" s="1">
        <v>0.44400000000000001</v>
      </c>
      <c r="M16" s="1">
        <v>0.46700000000000003</v>
      </c>
      <c r="N16" s="1">
        <v>0.45200000000000001</v>
      </c>
    </row>
    <row r="17" spans="1:15">
      <c r="A17" s="7"/>
      <c r="B17" s="3" t="s">
        <v>13</v>
      </c>
      <c r="C17" s="1">
        <f t="shared" ref="C17:D17" si="4">AVERAGE(C13:C16)</f>
        <v>0.38</v>
      </c>
      <c r="D17" s="1">
        <f t="shared" si="4"/>
        <v>0.39549999999999996</v>
      </c>
      <c r="E17" s="1">
        <f t="shared" ref="E17:N17" si="5">AVERAGE(E13:E16)</f>
        <v>0.40174999999999994</v>
      </c>
      <c r="F17" s="1">
        <f t="shared" si="5"/>
        <v>0.40499999999999997</v>
      </c>
      <c r="G17" s="1">
        <f t="shared" si="5"/>
        <v>0.40749999999999997</v>
      </c>
      <c r="H17" s="1">
        <f t="shared" si="5"/>
        <v>0.41225000000000001</v>
      </c>
      <c r="I17" s="1">
        <f t="shared" si="5"/>
        <v>0.39700000000000002</v>
      </c>
      <c r="J17" s="1">
        <f t="shared" si="5"/>
        <v>0.40950000000000003</v>
      </c>
      <c r="K17" s="1">
        <f t="shared" si="5"/>
        <v>0.38700000000000001</v>
      </c>
      <c r="L17" s="1">
        <f t="shared" si="5"/>
        <v>0.39924999999999999</v>
      </c>
      <c r="M17" s="1">
        <f t="shared" si="5"/>
        <v>0.39574999999999999</v>
      </c>
      <c r="N17" s="1">
        <f t="shared" si="5"/>
        <v>0.40649999999999997</v>
      </c>
    </row>
    <row r="18" spans="1:15">
      <c r="A18" s="7" t="s">
        <v>16</v>
      </c>
      <c r="B18" s="3">
        <v>96</v>
      </c>
      <c r="C18" s="1">
        <v>0.17100000000000001</v>
      </c>
      <c r="D18" s="1">
        <v>0.255</v>
      </c>
      <c r="E18" s="1">
        <v>0.20599999999999999</v>
      </c>
      <c r="F18" s="1">
        <v>0.307</v>
      </c>
      <c r="G18" s="1">
        <v>0.183</v>
      </c>
      <c r="H18" s="1">
        <v>0.26500000000000001</v>
      </c>
      <c r="I18" s="1">
        <v>0.19400000000000001</v>
      </c>
      <c r="J18" s="1">
        <v>0.27500000000000002</v>
      </c>
      <c r="K18" s="1">
        <v>0.17699999999999999</v>
      </c>
      <c r="L18" s="1">
        <v>0.25700000000000001</v>
      </c>
      <c r="M18" s="1">
        <v>0.188</v>
      </c>
      <c r="N18" s="1">
        <v>0.26900000000000002</v>
      </c>
    </row>
    <row r="19" spans="1:15">
      <c r="A19" s="7"/>
      <c r="B19" s="3">
        <v>192</v>
      </c>
      <c r="C19" s="1">
        <v>0.23799999999999999</v>
      </c>
      <c r="D19" s="1">
        <v>0.3</v>
      </c>
      <c r="E19" s="1">
        <v>0.28399999999999997</v>
      </c>
      <c r="F19" s="1">
        <v>0.36</v>
      </c>
      <c r="G19" s="1">
        <v>0.25600000000000001</v>
      </c>
      <c r="H19" s="1">
        <v>0.314</v>
      </c>
      <c r="I19" s="1">
        <v>0.26400000000000001</v>
      </c>
      <c r="J19" s="1">
        <v>0.32</v>
      </c>
      <c r="K19" s="1">
        <v>0.255</v>
      </c>
      <c r="L19" s="1">
        <v>0.312</v>
      </c>
      <c r="M19" s="1">
        <v>0.26100000000000001</v>
      </c>
      <c r="N19" s="1">
        <v>0.317</v>
      </c>
    </row>
    <row r="20" spans="1:15">
      <c r="A20" s="7"/>
      <c r="B20" s="3">
        <v>336</v>
      </c>
      <c r="C20" s="1">
        <v>0.29599999999999999</v>
      </c>
      <c r="D20" s="1">
        <v>0.33700000000000002</v>
      </c>
      <c r="E20" s="1">
        <v>0.38800000000000001</v>
      </c>
      <c r="F20" s="1">
        <v>0.43099999999999999</v>
      </c>
      <c r="G20" s="1">
        <v>0.316</v>
      </c>
      <c r="H20" s="1">
        <v>0.35299999999999998</v>
      </c>
      <c r="I20" s="1">
        <v>0.32400000000000001</v>
      </c>
      <c r="J20" s="1">
        <v>0.35699999999999998</v>
      </c>
      <c r="K20" s="1">
        <v>0.311</v>
      </c>
      <c r="L20" s="1">
        <v>0.34699999999999998</v>
      </c>
      <c r="M20" s="1">
        <v>0.32200000000000001</v>
      </c>
      <c r="N20" s="1">
        <v>0.35399999999999998</v>
      </c>
    </row>
    <row r="21" spans="1:15">
      <c r="A21" s="7"/>
      <c r="B21" s="3">
        <v>720</v>
      </c>
      <c r="C21" s="1">
        <v>0.39400000000000002</v>
      </c>
      <c r="D21" s="1">
        <v>0.39600000000000002</v>
      </c>
      <c r="E21" s="1">
        <v>0.56100000000000005</v>
      </c>
      <c r="F21" s="1">
        <v>0.52600000000000002</v>
      </c>
      <c r="G21" s="1">
        <v>0.40899999999999997</v>
      </c>
      <c r="H21" s="1">
        <v>0.40699999999999997</v>
      </c>
      <c r="I21" s="1">
        <v>0.46500000000000002</v>
      </c>
      <c r="J21" s="1">
        <v>0.435</v>
      </c>
      <c r="K21" s="1">
        <v>0.41899999999999998</v>
      </c>
      <c r="L21" s="1">
        <v>0.40899999999999997</v>
      </c>
      <c r="M21" s="1">
        <v>0.43099999999999999</v>
      </c>
      <c r="N21" s="1">
        <v>0.41799999999999998</v>
      </c>
    </row>
    <row r="22" spans="1:15">
      <c r="A22" s="7"/>
      <c r="B22" s="3" t="s">
        <v>13</v>
      </c>
      <c r="C22" s="1">
        <f t="shared" ref="C22:D22" si="6">AVERAGE(C18:C21)</f>
        <v>0.27475000000000005</v>
      </c>
      <c r="D22" s="1">
        <f t="shared" si="6"/>
        <v>0.32199999999999995</v>
      </c>
      <c r="E22" s="1">
        <f t="shared" ref="E22:N22" si="7">AVERAGE(E18:E21)</f>
        <v>0.35975000000000001</v>
      </c>
      <c r="F22" s="1">
        <f t="shared" si="7"/>
        <v>0.40600000000000003</v>
      </c>
      <c r="G22" s="1">
        <f t="shared" si="7"/>
        <v>0.29099999999999998</v>
      </c>
      <c r="H22" s="1">
        <f t="shared" si="7"/>
        <v>0.33474999999999999</v>
      </c>
      <c r="I22" s="1">
        <f t="shared" si="7"/>
        <v>0.31175000000000003</v>
      </c>
      <c r="J22" s="1">
        <f t="shared" si="7"/>
        <v>0.34675</v>
      </c>
      <c r="K22" s="1">
        <f t="shared" si="7"/>
        <v>0.29049999999999998</v>
      </c>
      <c r="L22" s="1">
        <f t="shared" si="7"/>
        <v>0.33124999999999999</v>
      </c>
      <c r="M22" s="1">
        <f t="shared" si="7"/>
        <v>0.30049999999999999</v>
      </c>
      <c r="N22" s="1">
        <f t="shared" si="7"/>
        <v>0.33950000000000002</v>
      </c>
    </row>
    <row r="23" spans="1:15">
      <c r="A23" s="7" t="s">
        <v>13</v>
      </c>
      <c r="B23" s="7"/>
      <c r="C23" s="5">
        <f t="shared" ref="C23:D23" si="8">AVERAGE(C7,C12,C17,C22)</f>
        <v>0.36650000000000005</v>
      </c>
      <c r="D23" s="5">
        <f t="shared" si="8"/>
        <v>0.38843749999999999</v>
      </c>
      <c r="E23" s="1">
        <f>AVERAGE(E7,E12,E17,E22)</f>
        <v>0.44112499999999999</v>
      </c>
      <c r="F23" s="1">
        <f t="shared" ref="F23:N23" si="9">AVERAGE(F7,F12,F17,F22)</f>
        <v>0.44243750000000004</v>
      </c>
      <c r="G23" s="1">
        <f t="shared" si="9"/>
        <v>0.38774999999999998</v>
      </c>
      <c r="H23" s="1">
        <f t="shared" si="9"/>
        <v>0.40275000000000005</v>
      </c>
      <c r="I23" s="1">
        <f t="shared" si="9"/>
        <v>0.39043749999999999</v>
      </c>
      <c r="J23" s="1">
        <f t="shared" si="9"/>
        <v>0.40618750000000003</v>
      </c>
      <c r="K23" s="4">
        <f t="shared" si="9"/>
        <v>0.37918750000000001</v>
      </c>
      <c r="L23" s="4">
        <f t="shared" si="9"/>
        <v>0.39687500000000003</v>
      </c>
      <c r="M23" s="1">
        <f t="shared" si="9"/>
        <v>0.38587500000000002</v>
      </c>
      <c r="N23" s="1">
        <f t="shared" si="9"/>
        <v>0.40100000000000002</v>
      </c>
    </row>
    <row r="24" spans="1:15">
      <c r="A24" s="7" t="s">
        <v>17</v>
      </c>
      <c r="B24" s="3">
        <v>96</v>
      </c>
      <c r="C24" s="1">
        <v>0.14499999999999999</v>
      </c>
      <c r="D24" s="1">
        <v>0.246</v>
      </c>
      <c r="E24" s="1">
        <v>0.19500000000000001</v>
      </c>
      <c r="F24" s="1">
        <v>0.27900000000000003</v>
      </c>
      <c r="G24" s="1">
        <v>0.154</v>
      </c>
      <c r="H24" s="1">
        <v>0.245</v>
      </c>
      <c r="I24" s="1">
        <v>0.17899999999999999</v>
      </c>
      <c r="J24" s="1">
        <v>0.27200000000000002</v>
      </c>
      <c r="K24" s="1">
        <v>0.15</v>
      </c>
      <c r="L24" s="1">
        <v>0.252</v>
      </c>
      <c r="M24" s="1">
        <v>0.18099999999999999</v>
      </c>
      <c r="N24" s="1">
        <v>0.27</v>
      </c>
    </row>
    <row r="25" spans="1:15">
      <c r="A25" s="7"/>
      <c r="B25" s="3">
        <v>192</v>
      </c>
      <c r="C25" s="1">
        <v>0.16300000000000001</v>
      </c>
      <c r="D25" s="1">
        <v>0.26</v>
      </c>
      <c r="E25" s="1">
        <v>0.19500000000000001</v>
      </c>
      <c r="F25" s="1">
        <v>0.28199999999999997</v>
      </c>
      <c r="G25" s="1">
        <v>0.17</v>
      </c>
      <c r="H25" s="1">
        <v>0.26</v>
      </c>
      <c r="I25" s="1">
        <v>0.186</v>
      </c>
      <c r="J25" s="1">
        <v>0.27800000000000002</v>
      </c>
      <c r="K25" s="1">
        <v>0.16600000000000001</v>
      </c>
      <c r="L25" s="1">
        <v>0.26400000000000001</v>
      </c>
      <c r="M25" s="1">
        <v>0.187</v>
      </c>
      <c r="N25" s="1">
        <v>0.27600000000000002</v>
      </c>
    </row>
    <row r="26" spans="1:15">
      <c r="A26" s="7"/>
      <c r="B26" s="3">
        <v>336</v>
      </c>
      <c r="C26" s="1">
        <v>0.18</v>
      </c>
      <c r="D26" s="1">
        <v>0.27400000000000002</v>
      </c>
      <c r="E26" s="1">
        <v>0.20799999999999999</v>
      </c>
      <c r="F26" s="1">
        <v>0.29799999999999999</v>
      </c>
      <c r="G26" s="1">
        <v>0.189</v>
      </c>
      <c r="H26" s="1">
        <v>0.28000000000000003</v>
      </c>
      <c r="I26" s="1">
        <v>0.20300000000000001</v>
      </c>
      <c r="J26" s="1">
        <v>0.29599999999999999</v>
      </c>
      <c r="K26" s="1">
        <v>0.184</v>
      </c>
      <c r="L26" s="1">
        <v>0.28000000000000003</v>
      </c>
      <c r="M26" s="1">
        <v>0.20599999999999999</v>
      </c>
      <c r="N26" s="1">
        <v>0.29499999999999998</v>
      </c>
    </row>
    <row r="27" spans="1:15">
      <c r="A27" s="7"/>
      <c r="B27" s="3">
        <v>720</v>
      </c>
      <c r="C27" s="1">
        <v>0.22</v>
      </c>
      <c r="D27" s="1">
        <v>0.307</v>
      </c>
      <c r="E27" s="1">
        <v>0.24299999999999999</v>
      </c>
      <c r="F27" s="1">
        <v>0.33100000000000002</v>
      </c>
      <c r="G27" s="1">
        <v>0.221</v>
      </c>
      <c r="H27" s="1">
        <v>0.30599999999999999</v>
      </c>
      <c r="I27" s="1">
        <v>0.24399999999999999</v>
      </c>
      <c r="J27" s="1">
        <v>0.32800000000000001</v>
      </c>
      <c r="K27" s="1">
        <v>0.22</v>
      </c>
      <c r="L27" s="1">
        <v>0.31</v>
      </c>
      <c r="M27" s="1">
        <v>0.246</v>
      </c>
      <c r="N27" s="1">
        <v>0.32500000000000001</v>
      </c>
    </row>
    <row r="28" spans="1:15">
      <c r="A28" s="7"/>
      <c r="B28" s="3" t="s">
        <v>13</v>
      </c>
      <c r="C28" s="5">
        <f t="shared" ref="C28:D28" si="10">AVERAGE(C24:C27)</f>
        <v>0.17699999999999999</v>
      </c>
      <c r="D28" s="5">
        <f t="shared" si="10"/>
        <v>0.27174999999999999</v>
      </c>
      <c r="E28" s="1">
        <f t="shared" ref="E28:N28" si="11">AVERAGE(E24:E27)</f>
        <v>0.21024999999999999</v>
      </c>
      <c r="F28" s="1">
        <f t="shared" si="11"/>
        <v>0.29749999999999999</v>
      </c>
      <c r="G28" s="1">
        <f t="shared" si="11"/>
        <v>0.1835</v>
      </c>
      <c r="H28" s="4">
        <f t="shared" si="11"/>
        <v>0.27274999999999999</v>
      </c>
      <c r="I28" s="1">
        <f t="shared" si="11"/>
        <v>0.20300000000000001</v>
      </c>
      <c r="J28" s="1">
        <f t="shared" si="11"/>
        <v>0.29350000000000004</v>
      </c>
      <c r="K28" s="4">
        <f t="shared" si="11"/>
        <v>0.18</v>
      </c>
      <c r="L28" s="1">
        <f t="shared" si="11"/>
        <v>0.27650000000000002</v>
      </c>
      <c r="M28" s="1">
        <f t="shared" si="11"/>
        <v>0.20499999999999999</v>
      </c>
      <c r="N28" s="1">
        <f t="shared" si="11"/>
        <v>0.29149999999999998</v>
      </c>
    </row>
    <row r="29" spans="1:15">
      <c r="A29" s="7" t="s">
        <v>18</v>
      </c>
      <c r="B29" s="3">
        <v>96</v>
      </c>
      <c r="C29" s="1">
        <v>0.45900000000000002</v>
      </c>
      <c r="D29" s="1">
        <v>0.309</v>
      </c>
      <c r="E29" s="1">
        <v>0.65500000000000003</v>
      </c>
      <c r="F29" s="1">
        <v>0.40200000000000002</v>
      </c>
      <c r="G29" s="1">
        <v>0.46</v>
      </c>
      <c r="H29" s="1">
        <v>0.315</v>
      </c>
      <c r="I29" s="1">
        <v>0.502</v>
      </c>
      <c r="J29" s="1">
        <v>0.33200000000000002</v>
      </c>
      <c r="K29" s="1">
        <v>0.5</v>
      </c>
      <c r="L29" s="1">
        <v>0.33300000000000002</v>
      </c>
      <c r="M29" s="1">
        <v>0.50900000000000001</v>
      </c>
      <c r="N29" s="1">
        <v>0.32600000000000001</v>
      </c>
      <c r="O29" s="6"/>
    </row>
    <row r="30" spans="1:15">
      <c r="A30" s="7"/>
      <c r="B30" s="3">
        <v>192</v>
      </c>
      <c r="C30" s="1">
        <v>0.46800000000000003</v>
      </c>
      <c r="D30" s="1">
        <v>0.309</v>
      </c>
      <c r="E30" s="1">
        <v>0.60499999999999998</v>
      </c>
      <c r="F30" s="1">
        <v>0.378</v>
      </c>
      <c r="G30" s="1">
        <v>0.47399999999999998</v>
      </c>
      <c r="H30" s="1">
        <v>0.31900000000000001</v>
      </c>
      <c r="I30" s="1">
        <v>0.502</v>
      </c>
      <c r="J30" s="1">
        <v>0.32600000000000001</v>
      </c>
      <c r="K30" s="1">
        <v>0.49399999999999999</v>
      </c>
      <c r="L30" s="1">
        <v>0.32900000000000001</v>
      </c>
      <c r="M30" s="1">
        <v>0.502</v>
      </c>
      <c r="N30" s="1">
        <v>0.32100000000000001</v>
      </c>
    </row>
    <row r="31" spans="1:15">
      <c r="A31" s="7"/>
      <c r="B31" s="3">
        <v>336</v>
      </c>
      <c r="C31" s="1">
        <v>0.47699999999999998</v>
      </c>
      <c r="D31" s="1">
        <v>0.316</v>
      </c>
      <c r="E31" s="1">
        <v>0.61099999999999999</v>
      </c>
      <c r="F31" s="1">
        <v>0.38</v>
      </c>
      <c r="G31" s="1">
        <v>0.49299999999999999</v>
      </c>
      <c r="H31" s="1">
        <v>0.32900000000000001</v>
      </c>
      <c r="I31" s="1">
        <v>0.51500000000000001</v>
      </c>
      <c r="J31" s="1">
        <v>0.33100000000000002</v>
      </c>
      <c r="K31" s="1">
        <v>0.51500000000000001</v>
      </c>
      <c r="L31" s="1">
        <v>0.33500000000000002</v>
      </c>
      <c r="M31" s="1">
        <v>0.51600000000000001</v>
      </c>
      <c r="N31" s="1">
        <v>0.32700000000000001</v>
      </c>
    </row>
    <row r="32" spans="1:15">
      <c r="A32" s="7"/>
      <c r="B32" s="3">
        <v>720</v>
      </c>
      <c r="C32" s="1">
        <v>0.51400000000000001</v>
      </c>
      <c r="D32" s="1">
        <v>0.33500000000000002</v>
      </c>
      <c r="E32" s="1">
        <v>0.65100000000000002</v>
      </c>
      <c r="F32" s="1">
        <v>0.40100000000000002</v>
      </c>
      <c r="G32" s="1">
        <v>0.53100000000000003</v>
      </c>
      <c r="H32" s="1">
        <v>0.35199999999999998</v>
      </c>
      <c r="I32" s="1">
        <v>0.54800000000000004</v>
      </c>
      <c r="J32" s="1">
        <v>0.35</v>
      </c>
      <c r="K32" s="1">
        <v>0.54800000000000004</v>
      </c>
      <c r="L32" s="1">
        <v>0.35199999999999998</v>
      </c>
      <c r="M32" s="1">
        <v>0.55000000000000004</v>
      </c>
      <c r="N32" s="1">
        <v>0.34499999999999997</v>
      </c>
    </row>
    <row r="33" spans="1:14">
      <c r="A33" s="7"/>
      <c r="B33" s="3" t="s">
        <v>13</v>
      </c>
      <c r="C33" s="5">
        <f t="shared" ref="C33:D33" si="12">AVERAGE(C29:C32)</f>
        <v>0.47949999999999998</v>
      </c>
      <c r="D33" s="5">
        <f t="shared" si="12"/>
        <v>0.31724999999999998</v>
      </c>
      <c r="E33" s="1">
        <f t="shared" ref="E33:N33" si="13">AVERAGE(E29:E32)</f>
        <v>0.63050000000000006</v>
      </c>
      <c r="F33" s="1">
        <f t="shared" si="13"/>
        <v>0.39025000000000004</v>
      </c>
      <c r="G33" s="4">
        <f t="shared" si="13"/>
        <v>0.48950000000000005</v>
      </c>
      <c r="H33" s="4">
        <f t="shared" si="13"/>
        <v>0.32874999999999999</v>
      </c>
      <c r="I33" s="1">
        <f t="shared" si="13"/>
        <v>0.51675000000000004</v>
      </c>
      <c r="J33" s="1">
        <f t="shared" si="13"/>
        <v>0.33474999999999999</v>
      </c>
      <c r="K33" s="1">
        <f t="shared" si="13"/>
        <v>0.51424999999999998</v>
      </c>
      <c r="L33" s="1">
        <f t="shared" si="13"/>
        <v>0.33725000000000005</v>
      </c>
      <c r="M33" s="1">
        <f t="shared" si="13"/>
        <v>0.51924999999999999</v>
      </c>
      <c r="N33" s="1">
        <f t="shared" si="13"/>
        <v>0.32974999999999999</v>
      </c>
    </row>
    <row r="34" spans="1:14">
      <c r="A34" s="7" t="s">
        <v>19</v>
      </c>
      <c r="B34" s="3">
        <v>96</v>
      </c>
      <c r="C34" s="1">
        <v>8.5000000000000006E-2</v>
      </c>
      <c r="D34" s="1">
        <v>0.20300000000000001</v>
      </c>
      <c r="E34" s="1">
        <v>8.5000000000000006E-2</v>
      </c>
      <c r="F34" s="1">
        <v>0.21199999999999999</v>
      </c>
      <c r="G34" s="1">
        <v>0.13</v>
      </c>
      <c r="H34" s="1">
        <v>0.254</v>
      </c>
      <c r="I34" s="1">
        <v>9.4E-2</v>
      </c>
      <c r="J34" s="1">
        <v>0.21099999999999999</v>
      </c>
      <c r="K34" s="1">
        <v>0.10199999999999999</v>
      </c>
      <c r="L34" s="1">
        <v>0.22500000000000001</v>
      </c>
      <c r="M34" s="1">
        <v>8.4000000000000005E-2</v>
      </c>
      <c r="N34" s="1">
        <v>0.20100000000000001</v>
      </c>
    </row>
    <row r="35" spans="1:14">
      <c r="A35" s="7"/>
      <c r="B35" s="3">
        <v>192</v>
      </c>
      <c r="C35" s="1">
        <v>0.18099999999999999</v>
      </c>
      <c r="D35" s="1">
        <v>0.30199999999999999</v>
      </c>
      <c r="E35" s="1">
        <v>0.17799999999999999</v>
      </c>
      <c r="F35" s="1">
        <v>0.314</v>
      </c>
      <c r="G35" s="1">
        <v>0.24</v>
      </c>
      <c r="H35" s="1">
        <v>0.35299999999999998</v>
      </c>
      <c r="I35" s="1">
        <v>0.19900000000000001</v>
      </c>
      <c r="J35" s="1">
        <v>0.315</v>
      </c>
      <c r="K35" s="1">
        <v>0.23100000000000001</v>
      </c>
      <c r="L35" s="1">
        <v>0.34200000000000003</v>
      </c>
      <c r="M35" s="1">
        <v>0.17899999999999999</v>
      </c>
      <c r="N35" s="1">
        <v>0.3</v>
      </c>
    </row>
    <row r="36" spans="1:14">
      <c r="A36" s="7"/>
      <c r="B36" s="3">
        <v>336</v>
      </c>
      <c r="C36" s="1">
        <v>0.34200000000000003</v>
      </c>
      <c r="D36" s="1">
        <v>0.42199999999999999</v>
      </c>
      <c r="E36" s="1">
        <v>0.32900000000000001</v>
      </c>
      <c r="F36" s="1">
        <v>0.433</v>
      </c>
      <c r="G36" s="1">
        <v>0.42399999999999999</v>
      </c>
      <c r="H36" s="1">
        <v>0.47299999999999998</v>
      </c>
      <c r="I36" s="1">
        <v>0.36299999999999999</v>
      </c>
      <c r="J36" s="1">
        <v>0.435</v>
      </c>
      <c r="K36" s="1">
        <v>0.372</v>
      </c>
      <c r="L36" s="1">
        <v>0.442</v>
      </c>
      <c r="M36" s="1">
        <v>0.35399999999999998</v>
      </c>
      <c r="N36" s="1">
        <v>0.42899999999999999</v>
      </c>
    </row>
    <row r="37" spans="1:14">
      <c r="A37" s="7"/>
      <c r="B37" s="3">
        <v>720</v>
      </c>
      <c r="C37" s="1">
        <v>0.88</v>
      </c>
      <c r="D37" s="1">
        <v>0.70099999999999996</v>
      </c>
      <c r="E37" s="1">
        <v>0.82699999999999996</v>
      </c>
      <c r="F37" s="1">
        <v>0.68300000000000005</v>
      </c>
      <c r="G37" s="1">
        <v>0.92400000000000004</v>
      </c>
      <c r="H37" s="1">
        <v>0.71899999999999997</v>
      </c>
      <c r="I37" s="1">
        <v>0.97699999999999998</v>
      </c>
      <c r="J37" s="1">
        <v>0.73399999999999999</v>
      </c>
      <c r="K37" s="1">
        <v>0.995</v>
      </c>
      <c r="L37" s="1">
        <v>0.73599999999999999</v>
      </c>
      <c r="M37" s="1">
        <v>0.89600000000000002</v>
      </c>
      <c r="N37" s="1">
        <v>0.71</v>
      </c>
    </row>
    <row r="38" spans="1:14">
      <c r="A38" s="7"/>
      <c r="B38" s="3" t="s">
        <v>13</v>
      </c>
      <c r="C38" s="4">
        <f t="shared" ref="C38:D38" si="14">AVERAGE(C34:C37)</f>
        <v>0.372</v>
      </c>
      <c r="D38" s="5">
        <f t="shared" si="14"/>
        <v>0.40700000000000003</v>
      </c>
      <c r="E38" s="5">
        <f t="shared" ref="E38:N38" si="15">AVERAGE(E34:E37)</f>
        <v>0.35475000000000001</v>
      </c>
      <c r="F38" s="1">
        <f t="shared" si="15"/>
        <v>0.41050000000000003</v>
      </c>
      <c r="G38" s="1">
        <f t="shared" si="15"/>
        <v>0.42949999999999999</v>
      </c>
      <c r="H38" s="1">
        <f t="shared" si="15"/>
        <v>0.44974999999999998</v>
      </c>
      <c r="I38" s="1">
        <f t="shared" si="15"/>
        <v>0.40825</v>
      </c>
      <c r="J38" s="1">
        <f t="shared" si="15"/>
        <v>0.42375000000000002</v>
      </c>
      <c r="K38" s="1">
        <f t="shared" si="15"/>
        <v>0.42500000000000004</v>
      </c>
      <c r="L38" s="1">
        <f t="shared" si="15"/>
        <v>0.43625000000000003</v>
      </c>
      <c r="M38" s="1">
        <f t="shared" si="15"/>
        <v>0.37824999999999998</v>
      </c>
      <c r="N38" s="4">
        <f t="shared" si="15"/>
        <v>0.41</v>
      </c>
    </row>
    <row r="39" spans="1:14">
      <c r="A39" s="7" t="s">
        <v>20</v>
      </c>
      <c r="B39" s="3">
        <v>96</v>
      </c>
      <c r="C39" s="1">
        <v>0.161</v>
      </c>
      <c r="D39" s="1">
        <v>0.20799999999999999</v>
      </c>
      <c r="E39" s="1">
        <v>0.19400000000000001</v>
      </c>
      <c r="F39" s="1">
        <v>0.252</v>
      </c>
      <c r="G39" s="1">
        <v>0.18</v>
      </c>
      <c r="H39" s="1">
        <v>0.215</v>
      </c>
      <c r="I39" s="1">
        <v>0.17399999999999999</v>
      </c>
      <c r="J39" s="1">
        <v>0.215</v>
      </c>
      <c r="K39" s="1">
        <v>0.158</v>
      </c>
      <c r="L39" s="1">
        <v>0.20300000000000001</v>
      </c>
      <c r="M39" s="1">
        <v>0.17599999999999999</v>
      </c>
      <c r="N39" s="1">
        <v>0.216</v>
      </c>
    </row>
    <row r="40" spans="1:14">
      <c r="A40" s="7"/>
      <c r="B40" s="3">
        <v>192</v>
      </c>
      <c r="C40" s="1">
        <v>0.20599999999999999</v>
      </c>
      <c r="D40" s="1">
        <v>0.249</v>
      </c>
      <c r="E40" s="1">
        <v>0.23400000000000001</v>
      </c>
      <c r="F40" s="1">
        <v>0.29099999999999998</v>
      </c>
      <c r="G40" s="1">
        <v>0.23300000000000001</v>
      </c>
      <c r="H40" s="1">
        <v>0.26400000000000001</v>
      </c>
      <c r="I40" s="1">
        <v>0.221</v>
      </c>
      <c r="J40" s="1">
        <v>0.255</v>
      </c>
      <c r="K40" s="1">
        <v>0.20499999999999999</v>
      </c>
      <c r="L40" s="1">
        <v>0.249</v>
      </c>
      <c r="M40" s="1">
        <v>0.223</v>
      </c>
      <c r="N40" s="1">
        <v>0.25700000000000001</v>
      </c>
    </row>
    <row r="41" spans="1:14">
      <c r="A41" s="7"/>
      <c r="B41" s="3">
        <v>336</v>
      </c>
      <c r="C41" s="1">
        <v>0.26300000000000001</v>
      </c>
      <c r="D41" s="1">
        <v>0.28999999999999998</v>
      </c>
      <c r="E41" s="1">
        <v>0.28100000000000003</v>
      </c>
      <c r="F41" s="1">
        <v>0.33</v>
      </c>
      <c r="G41" s="1">
        <v>0.28599999999999998</v>
      </c>
      <c r="H41" s="1">
        <v>0.30399999999999999</v>
      </c>
      <c r="I41" s="1">
        <v>0.27700000000000002</v>
      </c>
      <c r="J41" s="1">
        <v>0.29599999999999999</v>
      </c>
      <c r="K41" s="1">
        <v>0.26300000000000001</v>
      </c>
      <c r="L41" s="1">
        <v>0.29099999999999998</v>
      </c>
      <c r="M41" s="1">
        <v>0.27800000000000002</v>
      </c>
      <c r="N41" s="1">
        <v>0.29599999999999999</v>
      </c>
    </row>
    <row r="42" spans="1:14">
      <c r="A42" s="7"/>
      <c r="B42" s="3">
        <v>720</v>
      </c>
      <c r="C42" s="1">
        <v>0.34200000000000003</v>
      </c>
      <c r="D42" s="1">
        <v>0.34200000000000003</v>
      </c>
      <c r="E42" s="1">
        <v>0.34499999999999997</v>
      </c>
      <c r="F42" s="1">
        <v>0.38</v>
      </c>
      <c r="G42" s="1">
        <v>0.371</v>
      </c>
      <c r="H42" s="1">
        <v>0.35899999999999999</v>
      </c>
      <c r="I42" s="1">
        <v>0.35399999999999998</v>
      </c>
      <c r="J42" s="1">
        <v>0.34599999999999997</v>
      </c>
      <c r="K42" s="1">
        <v>0.34399999999999997</v>
      </c>
      <c r="L42" s="1">
        <v>0.34399999999999997</v>
      </c>
      <c r="M42" s="1">
        <v>0.35299999999999998</v>
      </c>
      <c r="N42" s="1">
        <v>0.34499999999999997</v>
      </c>
    </row>
    <row r="43" spans="1:14">
      <c r="A43" s="7"/>
      <c r="B43" s="3" t="s">
        <v>13</v>
      </c>
      <c r="C43" s="5">
        <f t="shared" ref="C43:D43" si="16">AVERAGE(C39:C42)</f>
        <v>0.24299999999999999</v>
      </c>
      <c r="D43" s="5">
        <f t="shared" si="16"/>
        <v>0.27224999999999999</v>
      </c>
      <c r="E43" s="1">
        <f t="shared" ref="E43:N43" si="17">AVERAGE(E39:E42)</f>
        <v>0.26350000000000001</v>
      </c>
      <c r="F43" s="1">
        <f t="shared" si="17"/>
        <v>0.31325000000000003</v>
      </c>
      <c r="G43" s="1">
        <f t="shared" si="17"/>
        <v>0.26750000000000002</v>
      </c>
      <c r="H43" s="1">
        <f t="shared" si="17"/>
        <v>0.28549999999999998</v>
      </c>
      <c r="I43" s="1">
        <f t="shared" si="17"/>
        <v>0.25650000000000001</v>
      </c>
      <c r="J43" s="1">
        <f t="shared" si="17"/>
        <v>0.27800000000000002</v>
      </c>
      <c r="K43" s="4">
        <f t="shared" si="17"/>
        <v>0.24249999999999999</v>
      </c>
      <c r="L43" s="4">
        <f t="shared" si="17"/>
        <v>0.27174999999999999</v>
      </c>
      <c r="M43" s="1">
        <f t="shared" si="17"/>
        <v>0.25750000000000001</v>
      </c>
      <c r="N43" s="1">
        <f t="shared" si="17"/>
        <v>0.27849999999999997</v>
      </c>
    </row>
    <row r="44" spans="1:14">
      <c r="B44" s="3" t="s">
        <v>21</v>
      </c>
      <c r="C44" s="5">
        <f t="shared" ref="C44:D44" si="18">AVERAGE(C23,C28,C33,C38,C43)</f>
        <v>0.3276</v>
      </c>
      <c r="D44" s="5">
        <f t="shared" si="18"/>
        <v>0.33133749999999995</v>
      </c>
      <c r="E44" s="1">
        <f>AVERAGE(E23,E28,E33,E38,E43)</f>
        <v>0.380025</v>
      </c>
      <c r="F44" s="1">
        <f t="shared" ref="F44:L44" si="19">AVERAGE(F23,F28,F33,F38,F43)</f>
        <v>0.37078750000000005</v>
      </c>
      <c r="G44" s="1">
        <f t="shared" si="19"/>
        <v>0.35155000000000003</v>
      </c>
      <c r="H44" s="1">
        <f t="shared" si="19"/>
        <v>0.34789999999999993</v>
      </c>
      <c r="I44" s="1">
        <f t="shared" si="19"/>
        <v>0.35498750000000001</v>
      </c>
      <c r="J44" s="1">
        <f t="shared" si="19"/>
        <v>0.34723750000000003</v>
      </c>
      <c r="K44" s="4">
        <f t="shared" si="19"/>
        <v>0.34818749999999998</v>
      </c>
      <c r="L44" s="4">
        <f t="shared" si="19"/>
        <v>0.343725</v>
      </c>
      <c r="M44" s="1">
        <f>AVERAGE(M23,M28,M33,M38,M43)</f>
        <v>0.34917500000000001</v>
      </c>
      <c r="N44" s="1">
        <f>AVERAGE(N23,N28,N33,N38,N43)</f>
        <v>0.34215000000000001</v>
      </c>
    </row>
  </sheetData>
  <mergeCells count="17">
    <mergeCell ref="A18:A22"/>
    <mergeCell ref="A1:B1"/>
    <mergeCell ref="C1:D1"/>
    <mergeCell ref="E1:F1"/>
    <mergeCell ref="G1:H1"/>
    <mergeCell ref="M1:N1"/>
    <mergeCell ref="A2:B2"/>
    <mergeCell ref="A3:A7"/>
    <mergeCell ref="A8:A12"/>
    <mergeCell ref="A13:A17"/>
    <mergeCell ref="I1:J1"/>
    <mergeCell ref="K1:L1"/>
    <mergeCell ref="A24:A28"/>
    <mergeCell ref="A29:A33"/>
    <mergeCell ref="A34:A38"/>
    <mergeCell ref="A39:A43"/>
    <mergeCell ref="A23:B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一鸣 周</dc:creator>
  <cp:lastModifiedBy>一鸣 周</cp:lastModifiedBy>
  <dcterms:created xsi:type="dcterms:W3CDTF">2026-04-15T07:53:00Z</dcterms:created>
  <dcterms:modified xsi:type="dcterms:W3CDTF">2026-04-25T10:13:14Z</dcterms:modified>
</cp:coreProperties>
</file>